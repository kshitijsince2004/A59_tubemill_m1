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Legend" sheetId="1" state="visible" r:id="rId3"/>
    <sheet name="Sheet Map" sheetId="2" state="visible" r:id="rId4"/>
    <sheet name="Field Register" sheetId="3" state="visible" r:id="rId5"/>
    <sheet name="ERP-WO Fields" sheetId="4" state="visible" r:id="rId6"/>
    <sheet name="PLC Connectivity" sheetId="5" state="visible" r:id="rId7"/>
    <sheet name="Gas Plant Params" sheetId="6" state="visible" r:id="rId8"/>
    <sheet name="Codes &amp; Enums" sheetId="7" state="visible" r:id="rId9"/>
    <sheet name="Data Flow" sheetId="8" state="visible" r:id="rId10"/>
    <sheet name="Required Documen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<sst xmlns="http://schemas.openxmlformats.org/spreadsheetml/2006/main" count="741" uniqueCount="445">
  <si>
    <t xml:space="preserve">ZEDRAL  .  A-59 ANNEALING FURNACE  .  M1 DATA MAPPING</t>
  </si>
  <si>
    <t xml:space="preserve">Goodluck India Limited . Sikandrabad . Roller Hearth Furnace (RHF) heat treatment + N2/EXO gas plant . v1.0</t>
  </si>
  <si>
    <t xml:space="preserve">Purpose</t>
  </si>
  <si>
    <t xml:space="preserve">Data mapping for M1 on the annealing / heat-treatment furnace, same method as the tube-mill and draw-bench books. Sits between the tube mill and drawing on the CEW/CDW route.</t>
  </si>
  <si>
    <t xml:space="preserve">Position on route</t>
  </si>
  <si>
    <t xml:space="preserve">Tube mill -&gt; ANNEALING (this) -&gt; STP -&gt; Draw bench. Also re-entered between draw passes (inter-pass anneal).</t>
  </si>
  <si>
    <t xml:space="preserve">Best L2 candidate</t>
  </si>
  <si>
    <t xml:space="preserve">Furnace is SCADA-driven and the easiest connect on the line: RHF-03/04 (Siemens S7-300) and RHF-05 (ET200SP, OPC UA) already run on a Siemens SCADA that collects zone temperatures. Zone temps + line speed are AUTO.</t>
  </si>
  <si>
    <t xml:space="preserve">Sheets</t>
  </si>
  <si>
    <t xml:space="preserve">Furnace Production Report (ANN-FT-01) + N2 PSA Gas Plant log + EXO Gas Plant log. Heat-treat recipe (temp/speed) comes from WI charts ANN-02/03/04.</t>
  </si>
  <si>
    <t xml:space="preserve">Atmosphere</t>
  </si>
  <si>
    <t xml:space="preserve">Protective gas: N2-PSA (feeds RHF-04/05) or EXO (feeds RHF-03). Gas-plant params are logged hourly; AUTO if the gas plant PLC is tapped, else a manual log.</t>
  </si>
  <si>
    <t xml:space="preserve">Tolerances</t>
  </si>
  <si>
    <t xml:space="preserve">Line speed +/- 2 m/hr; soaking-zone temperature +/- 10 C. Batch entry gap: 300 mm min between lots, 6000 mm between batches. Reject/quarantine reaction plan, no rework.</t>
  </si>
  <si>
    <t xml:space="preserve">LEGEND . capture class</t>
  </si>
  <si>
    <t xml:space="preserve">AUTO</t>
  </si>
  <si>
    <t xml:space="preserve">Machine reports it (RHF SCADA / instruments). No typing.</t>
  </si>
  <si>
    <t xml:space="preserve">DERIVED</t>
  </si>
  <si>
    <t xml:space="preserve">Pre-filled from the work order (ERP) or the heat-treat recipe chart. Operator confirms.</t>
  </si>
  <si>
    <t xml:space="preserve">MANUAL</t>
  </si>
  <si>
    <t xml:space="preserve">Operator measures, judges, or logs it.</t>
  </si>
  <si>
    <t xml:space="preserve">MASTER</t>
  </si>
  <si>
    <t xml:space="preserve">One-time reference / master data (recipe, gas spec ranges).</t>
  </si>
  <si>
    <t xml:space="preserve">SYSTEM</t>
  </si>
  <si>
    <t xml:space="preserve">Generated by the platform (ids, rollups).</t>
  </si>
  <si>
    <t xml:space="preserve">Tabs</t>
  </si>
  <si>
    <t xml:space="preserve">Sheet Map | Field Register | ERP-WO Fields | PLC Connectivity | Gas Plant Params | Codes &amp; Enums | Data Flow | Required Documents</t>
  </si>
  <si>
    <t xml:space="preserve">Source docs</t>
  </si>
  <si>
    <t xml:space="preserve">GLI-FT-PRD-ANN-01 R4 (furnace production report); GLI-FT-PRD-GAS PLANT-01 R4 (N2 PSA); GLI-FT-PRD-GAS PLANT-02 R1 (EXO); WI GLI-WI-PRD-ANN-01 R18; A-59 PLC survey (RHF-03/04/05).</t>
  </si>
  <si>
    <t xml:space="preserve">Note</t>
  </si>
  <si>
    <t xml:space="preserve">ANN-FT-01 records SIX temperature zones (I-VI), each Min/Max, not four. Shift check GLI-ST-PRD-ANN-03 and temp/speed charts ANN-02/03/04 are referenced in the WI but not in the Formats set yet.</t>
  </si>
  <si>
    <t xml:space="preserve">Field counts</t>
  </si>
  <si>
    <t xml:space="preserve">Total fields</t>
  </si>
  <si>
    <t xml:space="preserve">SHEET MAP . furnace + gas plant sheets</t>
  </si>
  <si>
    <t xml:space="preserve">Zedral x Goodluck India (Sikandrabad) . Annealing / Heat-treatment Furnace (RHF) + Gas Plant . Module M1</t>
  </si>
  <si>
    <t xml:space="preserve">Plant sheet</t>
  </si>
  <si>
    <t xml:space="preserve">Format / doc no.</t>
  </si>
  <si>
    <t xml:space="preserve">Rev</t>
  </si>
  <si>
    <t xml:space="preserve">In hand?</t>
  </si>
  <si>
    <t xml:space="preserve">Nature</t>
  </si>
  <si>
    <t xml:space="preserve">Digital target</t>
  </si>
  <si>
    <t xml:space="preserve">Capture summary</t>
  </si>
  <si>
    <t xml:space="preserve">1. Furnace production report</t>
  </si>
  <si>
    <t xml:space="preserve">GLI-FT-PRD-ANN-01 (ANN-FT-01)</t>
  </si>
  <si>
    <t xml:space="preserve">R4</t>
  </si>
  <si>
    <t xml:space="preserve">Yes</t>
  </si>
  <si>
    <t xml:space="preserve">Per charge / lot</t>
  </si>
  <si>
    <t xml:space="preserve">txn.prod_ann_run</t>
  </si>
  <si>
    <t xml:space="preserve">6-zone temps + speed AUTO (SCADA); no. of tubes + HT type DERIVED/MANUAL; gas consumption metered</t>
  </si>
  <si>
    <t xml:space="preserve">2. N2 PSA gas plant log</t>
  </si>
  <si>
    <t xml:space="preserve">GLI-FT-PRD-GAS PLANT-01</t>
  </si>
  <si>
    <t xml:space="preserve">Hourly</t>
  </si>
  <si>
    <t xml:space="preserve">txn.ann_gas_log</t>
  </si>
  <si>
    <t xml:space="preserve">Pressures/temps/flows/dew point/H2% - AUTO if plant PLC else manual hourly log</t>
  </si>
  <si>
    <t xml:space="preserve">3. EXO gas plant log</t>
  </si>
  <si>
    <t xml:space="preserve">GLI-FT-PRD-GAS PLANT-02</t>
  </si>
  <si>
    <t xml:space="preserve">R1</t>
  </si>
  <si>
    <t xml:space="preserve">PNG/air/combustion/chiller/H2%/dew point - AUTO if plant PLC else manual</t>
  </si>
  <si>
    <t xml:space="preserve">--- supporting / reference ---</t>
  </si>
  <si>
    <t xml:space="preserve">Work Instruction (all furnaces)</t>
  </si>
  <si>
    <t xml:space="preserve">GLI-WI-PRD-ANN-01</t>
  </si>
  <si>
    <t xml:space="preserve">R18</t>
  </si>
  <si>
    <t xml:space="preserve">Process logic + gas plant</t>
  </si>
  <si>
    <t xml:space="preserve">-</t>
  </si>
  <si>
    <t xml:space="preserve">SCADA-driven; zone temps, speed, batch</t>
  </si>
  <si>
    <t xml:space="preserve">Temp / speed charts</t>
  </si>
  <si>
    <t xml:space="preserve">ANN-02 / ANN-03 (RHF-3&amp;4) / ANN-04</t>
  </si>
  <si>
    <t xml:space="preserve">R06+</t>
  </si>
  <si>
    <t xml:space="preserve">In WI</t>
  </si>
  <si>
    <t xml:space="preserve">Heat-treat recipe per grade</t>
  </si>
  <si>
    <t xml:space="preserve">master.ann_recipe</t>
  </si>
  <si>
    <t xml:space="preserve">seed the recipe master</t>
  </si>
  <si>
    <t xml:space="preserve">Shift check sheet</t>
  </si>
  <si>
    <t xml:space="preserve">GLI-ST-PRD-ANN-03</t>
  </si>
  <si>
    <t xml:space="preserve">Referenced, not shared</t>
  </si>
  <si>
    <t xml:space="preserve">Per shift start</t>
  </si>
  <si>
    <t xml:space="preserve">txn.ann_shift_check</t>
  </si>
  <si>
    <t xml:space="preserve">gap</t>
  </si>
  <si>
    <t xml:space="preserve">FIELD REGISTER . furnace production + gas plant</t>
  </si>
  <si>
    <t xml:space="preserve">Field ID</t>
  </si>
  <si>
    <t xml:space="preserve">Sheet</t>
  </si>
  <si>
    <t xml:space="preserve">Paper field</t>
  </si>
  <si>
    <t xml:space="preserve">Canonical field (DB)</t>
  </si>
  <si>
    <t xml:space="preserve">Target schema.table</t>
  </si>
  <si>
    <t xml:space="preserve">Type</t>
  </si>
  <si>
    <t xml:space="preserve">Unit</t>
  </si>
  <si>
    <t xml:space="preserve">Class</t>
  </si>
  <si>
    <t xml:space="preserve">Source</t>
  </si>
  <si>
    <t xml:space="preserve">Req</t>
  </si>
  <si>
    <t xml:space="preserve">Validation / rule</t>
  </si>
  <si>
    <t xml:space="preserve">Notes</t>
  </si>
  <si>
    <t xml:space="preserve">ANN-01</t>
  </si>
  <si>
    <t xml:space="preserve">Run header</t>
  </si>
  <si>
    <t xml:space="preserve">Charge / lot id</t>
  </si>
  <si>
    <t xml:space="preserve">charge_no</t>
  </si>
  <si>
    <t xml:space="preserve">text</t>
  </si>
  <si>
    <t xml:space="preserve">furnace + ts</t>
  </si>
  <si>
    <t xml:space="preserve">Y</t>
  </si>
  <si>
    <t xml:space="preserve">unique per tenant</t>
  </si>
  <si>
    <t xml:space="preserve">batch entry</t>
  </si>
  <si>
    <t xml:space="preserve">ANN-02</t>
  </si>
  <si>
    <t xml:space="preserve">Furnace (RHF) no</t>
  </si>
  <si>
    <t xml:space="preserve">furnace_code</t>
  </si>
  <si>
    <t xml:space="preserve">assignment</t>
  </si>
  <si>
    <t xml:space="preserve">FK master.machine</t>
  </si>
  <si>
    <t xml:space="preserve">RHF-03/04/05 on A-59</t>
  </si>
  <si>
    <t xml:space="preserve">ANN-03</t>
  </si>
  <si>
    <t xml:space="preserve">Customer</t>
  </si>
  <si>
    <t xml:space="preserve">customer_code</t>
  </si>
  <si>
    <t xml:space="preserve">work order</t>
  </si>
  <si>
    <t xml:space="preserve">N</t>
  </si>
  <si>
    <t xml:space="preserve">FK master.customer</t>
  </si>
  <si>
    <t xml:space="preserve">ANN-04</t>
  </si>
  <si>
    <t xml:space="preserve">OD x THK x Length</t>
  </si>
  <si>
    <t xml:space="preserve">size</t>
  </si>
  <si>
    <t xml:space="preserve">json</t>
  </si>
  <si>
    <t xml:space="preserve">mm</t>
  </si>
  <si>
    <t xml:space="preserve">ANN-05</t>
  </si>
  <si>
    <t xml:space="preserve">Work Order / PO No</t>
  </si>
  <si>
    <t xml:space="preserve">work_order_no</t>
  </si>
  <si>
    <t xml:space="preserve">work order (BC)</t>
  </si>
  <si>
    <t xml:space="preserve">ANN-06</t>
  </si>
  <si>
    <t xml:space="preserve">Specification / Grade</t>
  </si>
  <si>
    <t xml:space="preserve">grade_code</t>
  </si>
  <si>
    <t xml:space="preserve">FK master.grade</t>
  </si>
  <si>
    <t xml:space="preserve">selects HT recipe</t>
  </si>
  <si>
    <t xml:space="preserve">ANN-07</t>
  </si>
  <si>
    <t xml:space="preserve">1 Furnace prod</t>
  </si>
  <si>
    <t xml:space="preserve">No. of tubes</t>
  </si>
  <si>
    <t xml:space="preserve">tube_count</t>
  </si>
  <si>
    <t xml:space="preserve">int</t>
  </si>
  <si>
    <t xml:space="preserve">pcs</t>
  </si>
  <si>
    <t xml:space="preserve">operator</t>
  </si>
  <si>
    <t xml:space="preserve">&gt;=0</t>
  </si>
  <si>
    <t xml:space="preserve">charge count</t>
  </si>
  <si>
    <t xml:space="preserve">ANN-08</t>
  </si>
  <si>
    <t xml:space="preserve">Heat treatment (type)</t>
  </si>
  <si>
    <t xml:space="preserve">ht_type</t>
  </si>
  <si>
    <t xml:space="preserve">enum</t>
  </si>
  <si>
    <t xml:space="preserve">grade / recipe</t>
  </si>
  <si>
    <t xml:space="preserve">ANNEAL|NORMALIZE|SRA</t>
  </si>
  <si>
    <t xml:space="preserve">per grade</t>
  </si>
  <si>
    <t xml:space="preserve">ANN-09</t>
  </si>
  <si>
    <t xml:space="preserve">Temperature Zone I (Min/Max)</t>
  </si>
  <si>
    <t xml:space="preserve">zone1_min/max_c</t>
  </si>
  <si>
    <t xml:space="preserve">number</t>
  </si>
  <si>
    <t xml:space="preserve">C</t>
  </si>
  <si>
    <t xml:space="preserve">RHF SCADA</t>
  </si>
  <si>
    <t xml:space="preserve">soaking +/-10 C</t>
  </si>
  <si>
    <t xml:space="preserve">zone temp</t>
  </si>
  <si>
    <t xml:space="preserve">ANN-10</t>
  </si>
  <si>
    <t xml:space="preserve">Temperature Zone II (Min/Max)</t>
  </si>
  <si>
    <t xml:space="preserve">zone2_min/max_c</t>
  </si>
  <si>
    <t xml:space="preserve">+/-10 C</t>
  </si>
  <si>
    <t xml:space="preserve">ANN-11</t>
  </si>
  <si>
    <t xml:space="preserve">Temperature Zone III (Min/Max)</t>
  </si>
  <si>
    <t xml:space="preserve">zone3_min/max_c</t>
  </si>
  <si>
    <t xml:space="preserve">ANN-12</t>
  </si>
  <si>
    <t xml:space="preserve">Temperature Zone IV (Min/Max)</t>
  </si>
  <si>
    <t xml:space="preserve">zone4_min/max_c</t>
  </si>
  <si>
    <t xml:space="preserve">ANN-13</t>
  </si>
  <si>
    <t xml:space="preserve">Temperature Zone V (Min/Max)</t>
  </si>
  <si>
    <t xml:space="preserve">zone5_min/max_c</t>
  </si>
  <si>
    <t xml:space="preserve">ANN-14</t>
  </si>
  <si>
    <t xml:space="preserve">Temperature Zone VI (Min/Max)</t>
  </si>
  <si>
    <t xml:space="preserve">zone6_min/max_c</t>
  </si>
  <si>
    <t xml:space="preserve">6 zones on ANN-FT-01</t>
  </si>
  <si>
    <t xml:space="preserve">ANN-15</t>
  </si>
  <si>
    <t xml:space="preserve">Line speed (running)</t>
  </si>
  <si>
    <t xml:space="preserve">line_speed_mhr</t>
  </si>
  <si>
    <t xml:space="preserve">m/hr</t>
  </si>
  <si>
    <t xml:space="preserve">+/-2 m/hr</t>
  </si>
  <si>
    <t xml:space="preserve">charge speed</t>
  </si>
  <si>
    <t xml:space="preserve">ANN-16</t>
  </si>
  <si>
    <t xml:space="preserve">Total (Nos / MT)</t>
  </si>
  <si>
    <t xml:space="preserve">total_nos / total_mt</t>
  </si>
  <si>
    <t xml:space="preserve">pcs,MT</t>
  </si>
  <si>
    <t xml:space="preserve">rollup</t>
  </si>
  <si>
    <t xml:space="preserve">ANN-17</t>
  </si>
  <si>
    <t xml:space="preserve">Gas consumption PNG (A/B/C)</t>
  </si>
  <si>
    <t xml:space="preserve">png_consumption</t>
  </si>
  <si>
    <t xml:space="preserve">Nm3</t>
  </si>
  <si>
    <t xml:space="preserve">AUTO/MANUAL</t>
  </si>
  <si>
    <t xml:space="preserve">meter if wired</t>
  </si>
  <si>
    <t xml:space="preserve">furnace fuel</t>
  </si>
  <si>
    <t xml:space="preserve">ANN-18</t>
  </si>
  <si>
    <t xml:space="preserve">Gas consumption NH3</t>
  </si>
  <si>
    <t xml:space="preserve">nh3_consumption</t>
  </si>
  <si>
    <t xml:space="preserve">kg</t>
  </si>
  <si>
    <t xml:space="preserve">cracked NH3 (N2 route)</t>
  </si>
  <si>
    <t xml:space="preserve">ANN-19</t>
  </si>
  <si>
    <t xml:space="preserve">Remarks</t>
  </si>
  <si>
    <t xml:space="preserve">remarks</t>
  </si>
  <si>
    <t xml:space="preserve">ANN-20</t>
  </si>
  <si>
    <t xml:space="preserve">Batch gap (300mm lot / 6000mm batch)</t>
  </si>
  <si>
    <t xml:space="preserve">batch_gap_ok</t>
  </si>
  <si>
    <t xml:space="preserve">bool</t>
  </si>
  <si>
    <t xml:space="preserve">MANUAL/AUTO</t>
  </si>
  <si>
    <t xml:space="preserve">operator / SCADA</t>
  </si>
  <si>
    <t xml:space="preserve">300 mm lots, 6000 mm batches</t>
  </si>
  <si>
    <t xml:space="preserve">charge spacing</t>
  </si>
  <si>
    <t xml:space="preserve">ANN-21</t>
  </si>
  <si>
    <t xml:space="preserve">Reject / quarantine</t>
  </si>
  <si>
    <t xml:space="preserve">disposition</t>
  </si>
  <si>
    <t xml:space="preserve">operator/QA</t>
  </si>
  <si>
    <t xml:space="preserve">reject/quarantine, no rework</t>
  </si>
  <si>
    <t xml:space="preserve">GAS-01</t>
  </si>
  <si>
    <t xml:space="preserve">2/3 Gas plant</t>
  </si>
  <si>
    <t xml:space="preserve">Atmosphere type</t>
  </si>
  <si>
    <t xml:space="preserve">gas_type</t>
  </si>
  <si>
    <t xml:space="preserve">furnace</t>
  </si>
  <si>
    <t xml:space="preserve">N2-PSA | EXO</t>
  </si>
  <si>
    <t xml:space="preserve">N2 -&gt; RHF-04/05; EXO -&gt; RHF-03</t>
  </si>
  <si>
    <t xml:space="preserve">GAS-02</t>
  </si>
  <si>
    <t xml:space="preserve">Hourly gas params (full list)</t>
  </si>
  <si>
    <t xml:space="preserve">gas_params (jsonb)</t>
  </si>
  <si>
    <t xml:space="preserve">mixed</t>
  </si>
  <si>
    <t xml:space="preserve">plant PLC / hourly log</t>
  </si>
  <si>
    <t xml:space="preserve">per Gas Plant Params tab</t>
  </si>
  <si>
    <t xml:space="preserve">see Gas Plant Params tab</t>
  </si>
  <si>
    <t xml:space="preserve">GAS-03</t>
  </si>
  <si>
    <t xml:space="preserve">Dew point</t>
  </si>
  <si>
    <t xml:space="preserve">dew_point_c</t>
  </si>
  <si>
    <t xml:space="preserve">plant</t>
  </si>
  <si>
    <t xml:space="preserve">N2: -40 to -110; EXO: +20 to -45</t>
  </si>
  <si>
    <t xml:space="preserve">atmosphere quality</t>
  </si>
  <si>
    <t xml:space="preserve">GAS-04</t>
  </si>
  <si>
    <t xml:space="preserve">Final H2 %</t>
  </si>
  <si>
    <t xml:space="preserve">h2_pct</t>
  </si>
  <si>
    <t xml:space="preserve">%</t>
  </si>
  <si>
    <t xml:space="preserve">N2: 1-10; EXO: 0.10-5.0</t>
  </si>
  <si>
    <t xml:space="preserve">GAS-05</t>
  </si>
  <si>
    <t xml:space="preserve">O2 product gas (ppm)</t>
  </si>
  <si>
    <t xml:space="preserve">o2_ppm</t>
  </si>
  <si>
    <t xml:space="preserve">ppm</t>
  </si>
  <si>
    <t xml:space="preserve">0-10</t>
  </si>
  <si>
    <t xml:space="preserve">GAS-06</t>
  </si>
  <si>
    <t xml:space="preserve">Dryer / tower change-over time (N2)</t>
  </si>
  <si>
    <t xml:space="preserve">changeover_time</t>
  </si>
  <si>
    <t xml:space="preserve">ts</t>
  </si>
  <si>
    <t xml:space="preserve">N2 PSA only</t>
  </si>
  <si>
    <t xml:space="preserve">WHAT COMES FROM ERP / WORK ORDER . Dynamics 365 Business Central</t>
  </si>
  <si>
    <t xml:space="preserve">ERP / WO field</t>
  </si>
  <si>
    <t xml:space="preserve">Canonical field</t>
  </si>
  <si>
    <t xml:space="preserve">Target table</t>
  </si>
  <si>
    <t xml:space="preserve">Read now (plan)</t>
  </si>
  <si>
    <t xml:space="preserve">Write back (later)</t>
  </si>
  <si>
    <t xml:space="preserve">Work order / PO number</t>
  </si>
  <si>
    <t xml:space="preserve">Specification / grade</t>
  </si>
  <si>
    <t xml:space="preserve">selects heat-treat recipe</t>
  </si>
  <si>
    <t xml:space="preserve">Size (OD x THK x Length)</t>
  </si>
  <si>
    <t xml:space="preserve">Incoming tube ref (from mill)</t>
  </si>
  <si>
    <t xml:space="preserve">input_tube_ref</t>
  </si>
  <si>
    <t xml:space="preserve">route card genealogy</t>
  </si>
  <si>
    <t xml:space="preserve">Route / next operation (STP / draw)</t>
  </si>
  <si>
    <t xml:space="preserve">route_ref</t>
  </si>
  <si>
    <t xml:space="preserve">(genealogy)</t>
  </si>
  <si>
    <t xml:space="preserve">Heat-treated qty (actuals)</t>
  </si>
  <si>
    <t xml:space="preserve">write-back phase</t>
  </si>
  <si>
    <t xml:space="preserve">Disposition (accept / quarantine)</t>
  </si>
  <si>
    <t xml:space="preserve">PLC CONNECTIVITY . furnace (RHF-03/04/05) + gas plants</t>
  </si>
  <si>
    <t xml:space="preserve">Machine</t>
  </si>
  <si>
    <t xml:space="preserve">Controller / PLC</t>
  </si>
  <si>
    <t xml:space="preserve">Model</t>
  </si>
  <si>
    <t xml:space="preserve">Comms</t>
  </si>
  <si>
    <t xml:space="preserve">Read protocol / driver</t>
  </si>
  <si>
    <t xml:space="preserve">Ease</t>
  </si>
  <si>
    <t xml:space="preserve">Status</t>
  </si>
  <si>
    <t xml:space="preserve">What it yields</t>
  </si>
  <si>
    <t xml:space="preserve">RHF-03</t>
  </si>
  <si>
    <t xml:space="preserve">Siemens SIMATIC S7-300</t>
  </si>
  <si>
    <t xml:space="preserve">CPU 315-2 PN/DP (6ES7 315-2EH14-0AB0)</t>
  </si>
  <si>
    <t xml:space="preserve">Ethernet PROFINET + Siemens SCADA</t>
  </si>
  <si>
    <t xml:space="preserve">S7comm (Snap7 / KEPServerEX) or tap Siemens SCADA OPC/historian</t>
  </si>
  <si>
    <t xml:space="preserve">Easy</t>
  </si>
  <si>
    <t xml:space="preserve">Connected (survey)</t>
  </si>
  <si>
    <t xml:space="preserve">6 zone temps, line speed, batch</t>
  </si>
  <si>
    <t xml:space="preserve">RHF-04</t>
  </si>
  <si>
    <t xml:space="preserve">S7comm (Snap7) or SCADA OPC tap</t>
  </si>
  <si>
    <t xml:space="preserve">RHF-05</t>
  </si>
  <si>
    <t xml:space="preserve">Siemens SIMATIC ET 200SP</t>
  </si>
  <si>
    <t xml:space="preserve">CPU 1510SP-1 PN</t>
  </si>
  <si>
    <t xml:space="preserve">OPC UA (built-in CPU server; needs runtime licence) or S7comm</t>
  </si>
  <si>
    <t xml:space="preserve">Furnace SCADA / historian</t>
  </si>
  <si>
    <t xml:space="preserve">Siemens WinCC</t>
  </si>
  <si>
    <t xml:space="preserve">Ethernet</t>
  </si>
  <si>
    <t xml:space="preserve">OPC / historian read (already collects zone temps)</t>
  </si>
  <si>
    <t xml:space="preserve">Present</t>
  </si>
  <si>
    <t xml:space="preserve">fastest path - tap the historian</t>
  </si>
  <si>
    <t xml:space="preserve">N2 PSA gas plant</t>
  </si>
  <si>
    <t xml:space="preserve">Instruments / PLC (confirm)</t>
  </si>
  <si>
    <t xml:space="preserve">Manual hourly log; AUTO if plant PLC tapped</t>
  </si>
  <si>
    <t xml:space="preserve">Medium</t>
  </si>
  <si>
    <t xml:space="preserve">Log only</t>
  </si>
  <si>
    <t xml:space="preserve">atmosphere params (see Gas Plant Params)</t>
  </si>
  <si>
    <t xml:space="preserve">EXO gas plant</t>
  </si>
  <si>
    <t xml:space="preserve">atmosphere params</t>
  </si>
  <si>
    <t xml:space="preserve">--- key point ---</t>
  </si>
  <si>
    <t xml:space="preserve">Furnace is the easiest L2 win on the line: RHF-03/04/05 are Ethernet-native Siemens on an existing SCADA that already collects zone temps. Tap the historian/OPC first; zone temps + line speed become AUTO with no new hardware.</t>
  </si>
  <si>
    <t xml:space="preserve">GAS PLANT PARAMETERS . N2 PSA (GAS PLANT-01) + EXO (GAS PLANT-02) spec ranges</t>
  </si>
  <si>
    <t xml:space="preserve">Gas plant</t>
  </si>
  <si>
    <t xml:space="preserve">Parameter</t>
  </si>
  <si>
    <t xml:space="preserve">Spec range</t>
  </si>
  <si>
    <t xml:space="preserve">N2 PSA</t>
  </si>
  <si>
    <t xml:space="preserve">Inlet water pressure</t>
  </si>
  <si>
    <t xml:space="preserve">kg/cm2</t>
  </si>
  <si>
    <t xml:space="preserve">1.50-3.0</t>
  </si>
  <si>
    <t xml:space="preserve">Discharge temp</t>
  </si>
  <si>
    <t xml:space="preserve">75-110</t>
  </si>
  <si>
    <t xml:space="preserve">Air receiver pressure</t>
  </si>
  <si>
    <t xml:space="preserve">6.5-7.2</t>
  </si>
  <si>
    <t xml:space="preserve">PSA tower pressure A / B</t>
  </si>
  <si>
    <t xml:space="preserve">Raw N2 flow (LDP 200-550)</t>
  </si>
  <si>
    <t xml:space="preserve">Nm3/hr</t>
  </si>
  <si>
    <t xml:space="preserve">150-300</t>
  </si>
  <si>
    <t xml:space="preserve">NH3 inlet pressure</t>
  </si>
  <si>
    <t xml:space="preserve">5.0-6.5</t>
  </si>
  <si>
    <t xml:space="preserve">Cracked NH3 flow</t>
  </si>
  <si>
    <t xml:space="preserve">05-40</t>
  </si>
  <si>
    <t xml:space="preserve">Deoxo temp</t>
  </si>
  <si>
    <t xml:space="preserve">50-400</t>
  </si>
  <si>
    <t xml:space="preserve">N2 dryer tower A/B pressure</t>
  </si>
  <si>
    <t xml:space="preserve">4.0-5.50</t>
  </si>
  <si>
    <t xml:space="preserve">N2 dryer tower A/B temp</t>
  </si>
  <si>
    <t xml:space="preserve">20-220</t>
  </si>
  <si>
    <t xml:space="preserve">O2 product gas</t>
  </si>
  <si>
    <t xml:space="preserve">-40 to -110</t>
  </si>
  <si>
    <t xml:space="preserve">Final H2</t>
  </si>
  <si>
    <t xml:space="preserve">1-10</t>
  </si>
  <si>
    <t xml:space="preserve">EXO</t>
  </si>
  <si>
    <t xml:space="preserve">Main pressure PNG</t>
  </si>
  <si>
    <t xml:space="preserve">2.0-3.5</t>
  </si>
  <si>
    <t xml:space="preserve">Secondary pressure PNG</t>
  </si>
  <si>
    <t xml:space="preserve">0.10-0.50</t>
  </si>
  <si>
    <t xml:space="preserve">PNG flow</t>
  </si>
  <si>
    <t xml:space="preserve">18-40</t>
  </si>
  <si>
    <t xml:space="preserve">Combustion air</t>
  </si>
  <si>
    <t xml:space="preserve">120-300</t>
  </si>
  <si>
    <t xml:space="preserve">Combustion chamber temp</t>
  </si>
  <si>
    <t xml:space="preserve">35-80</t>
  </si>
  <si>
    <t xml:space="preserve">1.0-2.5</t>
  </si>
  <si>
    <t xml:space="preserve">Air blower pressure</t>
  </si>
  <si>
    <t xml:space="preserve">0.15-0.50</t>
  </si>
  <si>
    <t xml:space="preserve">Deoxo pressure</t>
  </si>
  <si>
    <t xml:space="preserve">0.05-0.50</t>
  </si>
  <si>
    <t xml:space="preserve">Chiller inlet / outlet temp</t>
  </si>
  <si>
    <t xml:space="preserve">5-65 / 3-20</t>
  </si>
  <si>
    <t xml:space="preserve">Chiller suction / discharge pressure</t>
  </si>
  <si>
    <t xml:space="preserve">PSI</t>
  </si>
  <si>
    <t xml:space="preserve">0-65 / 180-300</t>
  </si>
  <si>
    <t xml:space="preserve">H2</t>
  </si>
  <si>
    <t xml:space="preserve">0.10-5.0</t>
  </si>
  <si>
    <t xml:space="preserve">+20 to -45</t>
  </si>
  <si>
    <t xml:space="preserve">CODES, ENUMS &amp; LISTS</t>
  </si>
  <si>
    <t xml:space="preserve">Group</t>
  </si>
  <si>
    <t xml:space="preserve">Value</t>
  </si>
  <si>
    <t xml:space="preserve">Furnaces (A-59)</t>
  </si>
  <si>
    <t xml:space="preserve">RHF-03 | RHF-04 | RHF-05</t>
  </si>
  <si>
    <t xml:space="preserve">roller hearth; RHF-03 EXO, RHF-04/05 N2-PSA</t>
  </si>
  <si>
    <t xml:space="preserve">Heat treatment type</t>
  </si>
  <si>
    <t xml:space="preserve">ANNEAL | NORMALIZE | SRA</t>
  </si>
  <si>
    <t xml:space="preserve">SRA = stress relief anneal (WI 104B optional)</t>
  </si>
  <si>
    <t xml:space="preserve">Atmosphere gas</t>
  </si>
  <si>
    <t xml:space="preserve">protective atmosphere</t>
  </si>
  <si>
    <t xml:space="preserve">Zone count</t>
  </si>
  <si>
    <t xml:space="preserve">I . II . III . IV . V . VI</t>
  </si>
  <si>
    <t xml:space="preserve">6 temperature zones on ANN-FT-01</t>
  </si>
  <si>
    <t xml:space="preserve">line speed +/-2 m/hr; soaking temp +/-10 C</t>
  </si>
  <si>
    <t xml:space="preserve">from WI</t>
  </si>
  <si>
    <t xml:space="preserve">Batch spacing</t>
  </si>
  <si>
    <t xml:space="preserve">300 mm min between lots; 6000 mm between batches</t>
  </si>
  <si>
    <t xml:space="preserve">Reaction plan</t>
  </si>
  <si>
    <t xml:space="preserve">reject / quarantine; no rework</t>
  </si>
  <si>
    <t xml:space="preserve">Record status</t>
  </si>
  <si>
    <t xml:space="preserve">DRAFT | SUBMITTED | APPROVED | LOCKED</t>
  </si>
  <si>
    <t xml:space="preserve">capture lifecycle</t>
  </si>
  <si>
    <t xml:space="preserve">END-TO-END DATA FLOW . annealing furnace</t>
  </si>
  <si>
    <t xml:space="preserve">Step</t>
  </si>
  <si>
    <t xml:space="preserve">To</t>
  </si>
  <si>
    <t xml:space="preserve">What moves</t>
  </si>
  <si>
    <t xml:space="preserve">1 Plan</t>
  </si>
  <si>
    <t xml:space="preserve">Dynamics 365 BC (ERP)</t>
  </si>
  <si>
    <t xml:space="preserve">Charge header</t>
  </si>
  <si>
    <t xml:space="preserve">WO, customer, grade, size; grade selects heat-treat recipe</t>
  </si>
  <si>
    <t xml:space="preserve">2 Recipe</t>
  </si>
  <si>
    <t xml:space="preserve">ANN temp/speed charts (ANN-02/03/04)</t>
  </si>
  <si>
    <t xml:space="preserve">Server</t>
  </si>
  <si>
    <t xml:space="preserve">soaking temp + line speed target per grade; operator confirms</t>
  </si>
  <si>
    <t xml:space="preserve">3 Machine</t>
  </si>
  <si>
    <t xml:space="preserve">RHF SCADA / historian (S7-300 / ET200SP)</t>
  </si>
  <si>
    <t xml:space="preserve">Collector -&gt; Server</t>
  </si>
  <si>
    <t xml:space="preserve">6 zone temps + line speed AUTO (1 tap, no new hardware)</t>
  </si>
  <si>
    <t xml:space="preserve">4 Atmosphere</t>
  </si>
  <si>
    <t xml:space="preserve">N2 PSA / EXO gas plant</t>
  </si>
  <si>
    <t xml:space="preserve">Collector or log</t>
  </si>
  <si>
    <t xml:space="preserve">dew point, H2%, O2 ppm, pressures/flows (AUTO if plant PLC else hourly log)</t>
  </si>
  <si>
    <t xml:space="preserve">5 Confirm</t>
  </si>
  <si>
    <t xml:space="preserve">Server (live API)</t>
  </si>
  <si>
    <t xml:space="preserve">Tablet</t>
  </si>
  <si>
    <t xml:space="preserve">confirm charge, HT type, no. of tubes; band-check zone temps vs recipe; reject/quarantine</t>
  </si>
  <si>
    <t xml:space="preserve">6 Assemble</t>
  </si>
  <si>
    <t xml:space="preserve">Server rollups</t>
  </si>
  <si>
    <t xml:space="preserve">Sheets (views)</t>
  </si>
  <si>
    <t xml:space="preserve">furnace production report + gas logs assemble themselves</t>
  </si>
  <si>
    <t xml:space="preserve">7 Write-back (later)</t>
  </si>
  <si>
    <t xml:space="preserve">Dynamics 365 BC + next process</t>
  </si>
  <si>
    <t xml:space="preserve">heat-treated qty, disposition; release to STP / draw</t>
  </si>
  <si>
    <t xml:space="preserve">Furnace is re-entered between draw passes (inter-pass anneal). Same charge model each pass.</t>
  </si>
  <si>
    <t xml:space="preserve">REQUIRED DOCUMENTS &amp; OPEN GAPS</t>
  </si>
  <si>
    <t xml:space="preserve">Ref</t>
  </si>
  <si>
    <t xml:space="preserve">Document / item needed</t>
  </si>
  <si>
    <t xml:space="preserve">Why it matters</t>
  </si>
  <si>
    <t xml:space="preserve">Status / owner</t>
  </si>
  <si>
    <t xml:space="preserve">D-1</t>
  </si>
  <si>
    <t xml:space="preserve">GLI-FT-PRD-ANN-01 Furnace Production Report</t>
  </si>
  <si>
    <t xml:space="preserve">Sheet 1 (6-zone temps, speed, gas)</t>
  </si>
  <si>
    <t xml:space="preserve">RESOLVED - received (R4)</t>
  </si>
  <si>
    <t xml:space="preserve">D-2</t>
  </si>
  <si>
    <t xml:space="preserve">GLI-FT-PRD-GAS PLANT-01 / 02 logs</t>
  </si>
  <si>
    <t xml:space="preserve">N2 PSA + EXO hourly params</t>
  </si>
  <si>
    <t xml:space="preserve">RESOLVED - received (R4 / R1)</t>
  </si>
  <si>
    <t xml:space="preserve">D-3</t>
  </si>
  <si>
    <t xml:space="preserve">GLI-ST-PRD-ANN-03 shift check sheet</t>
  </si>
  <si>
    <t xml:space="preserve">Start-of-shift furnace checks</t>
  </si>
  <si>
    <t xml:space="preserve">Pending - Goodluck</t>
  </si>
  <si>
    <t xml:space="preserve">D-4</t>
  </si>
  <si>
    <t xml:space="preserve">Temp / speed charts ANN-02/03/04</t>
  </si>
  <si>
    <t xml:space="preserve">Heat-treat recipe master (soaking temp/time per grade)</t>
  </si>
  <si>
    <t xml:space="preserve">Pending - Goodluck (WI annex)</t>
  </si>
  <si>
    <t xml:space="preserve">D-5</t>
  </si>
  <si>
    <t xml:space="preserve">RHF SCADA / historian access + tag map (O-2)</t>
  </si>
  <si>
    <t xml:space="preserve">Which zone-temp/speed tags; OPC / historian read login</t>
  </si>
  <si>
    <t xml:space="preserve">Pending - Electrical Head</t>
  </si>
  <si>
    <t xml:space="preserve">D-6</t>
  </si>
  <si>
    <t xml:space="preserve">RHF-05 OPC UA runtime licence (S7-1500 family)</t>
  </si>
  <si>
    <t xml:space="preserve">Enable built-in OPC UA server on ET200SP</t>
  </si>
  <si>
    <t xml:space="preserve">Confirm / procure</t>
  </si>
  <si>
    <t xml:space="preserve">D-7</t>
  </si>
  <si>
    <t xml:space="preserve">Gas plant PLC / instrument survey</t>
  </si>
  <si>
    <t xml:space="preserve">Decides AUTO vs manual for atmosphere params</t>
  </si>
  <si>
    <t xml:space="preserve">Pending - tag survey</t>
  </si>
  <si>
    <t xml:space="preserve">D-8</t>
  </si>
  <si>
    <t xml:space="preserve">Heat-treatment acceptance (metallurgy)</t>
  </si>
  <si>
    <t xml:space="preserve">Hardness / grain criteria post-anneal</t>
  </si>
  <si>
    <t xml:space="preserve">Pending - Goodluck QA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</si>
</sst>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0"/>
      <color rgb="FF14532D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color rgb="FF14532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3D20"/>
        <bgColor rgb="FF14532D"/>
      </patternFill>
    </fill>
    <fill>
      <patternFill patternType="solid">
        <fgColor rgb="FFD9E7DC"/>
        <bgColor rgb="FFD6EAD6"/>
      </patternFill>
    </fill>
    <fill>
      <patternFill patternType="solid">
        <fgColor rgb="FFD6EAD6"/>
        <bgColor rgb="FFD9E7DC"/>
      </patternFill>
    </fill>
    <fill>
      <patternFill patternType="solid">
        <fgColor rgb="FFD6E3F0"/>
        <bgColor rgb="FFD9E7DC"/>
      </patternFill>
    </fill>
    <fill>
      <patternFill patternType="solid">
        <fgColor rgb="FFFCE7C9"/>
        <bgColor rgb="FFE4E4E7"/>
      </patternFill>
    </fill>
    <fill>
      <patternFill patternType="solid">
        <fgColor rgb="FFE4E4E7"/>
        <bgColor rgb="FFD9E7DC"/>
      </patternFill>
    </fill>
    <fill>
      <patternFill patternType="solid">
        <fgColor rgb="FFEADCF2"/>
        <bgColor rgb="FFE4E4E7"/>
      </patternFill>
    </fill>
    <fill>
      <patternFill patternType="solid">
        <fgColor rgb="FF14532D"/>
        <bgColor rgb="FF0F3D2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7C9"/>
      <rgbColor rgb="FFD9E7DC"/>
      <rgbColor rgb="FF660066"/>
      <rgbColor rgb="FFFF8080"/>
      <rgbColor rgb="FF0066CC"/>
      <rgbColor rgb="FFD6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4E7"/>
      <rgbColor rgb="FFD6EAD6"/>
      <rgbColor rgb="FFFFFF99"/>
      <rgbColor rgb="FF99CCFF"/>
      <rgbColor rgb="FFFF99CC"/>
      <rgbColor rgb="FFCC99FF"/>
      <rgbColor rgb="FFEADCF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532D"/>
      <rgbColor rgb="FF339966"/>
      <rgbColor rgb="FF0F3D20"/>
      <rgbColor rgb="FF1A1A1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30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23.85" hidden="false" customHeight="false" outlineLevel="0" collapsed="false">
      <c r="A6" s="3" t="s">
        <v>6</v>
      </c>
      <c r="B6" s="4" t="s">
        <v>7</v>
      </c>
    </row>
    <row r="7" customFormat="false" ht="23.85" hidden="false" customHeight="false" outlineLevel="0" collapsed="false">
      <c r="A7" s="3" t="s">
        <v>8</v>
      </c>
      <c r="B7" s="4" t="s">
        <v>9</v>
      </c>
    </row>
    <row r="8" customFormat="false" ht="23.85" hidden="false" customHeight="false" outlineLevel="0" collapsed="false">
      <c r="A8" s="3" t="s">
        <v>10</v>
      </c>
      <c r="B8" s="4" t="s">
        <v>11</v>
      </c>
    </row>
    <row r="9" customFormat="false" ht="23.8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5"/>
      <c r="B10" s="4"/>
    </row>
    <row r="11" customFormat="false" ht="15" hidden="false" customHeight="false" outlineLevel="0" collapsed="false">
      <c r="A11" s="6" t="s">
        <v>14</v>
      </c>
      <c r="B11" s="4"/>
    </row>
    <row r="12" customFormat="false" ht="15" hidden="false" customHeight="false" outlineLevel="0" collapsed="false">
      <c r="A12" s="7" t="s">
        <v>15</v>
      </c>
      <c r="B12" s="4" t="s">
        <v>16</v>
      </c>
    </row>
    <row r="13" customFormat="false" ht="15" hidden="false" customHeight="false" outlineLevel="0" collapsed="false">
      <c r="A13" s="8" t="s">
        <v>17</v>
      </c>
      <c r="B13" s="4" t="s">
        <v>18</v>
      </c>
    </row>
    <row r="14" customFormat="false" ht="15" hidden="false" customHeight="false" outlineLevel="0" collapsed="false">
      <c r="A14" s="9" t="s">
        <v>19</v>
      </c>
      <c r="B14" s="4" t="s">
        <v>20</v>
      </c>
    </row>
    <row r="15" customFormat="false" ht="15" hidden="false" customHeight="false" outlineLevel="0" collapsed="false">
      <c r="A15" s="10" t="s">
        <v>21</v>
      </c>
      <c r="B15" s="4" t="s">
        <v>22</v>
      </c>
    </row>
    <row r="16" customFormat="false" ht="15" hidden="false" customHeight="false" outlineLevel="0" collapsed="false">
      <c r="A16" s="11" t="s">
        <v>23</v>
      </c>
      <c r="B16" s="4" t="s">
        <v>24</v>
      </c>
    </row>
    <row r="17" customFormat="false" ht="15" hidden="false" customHeight="false" outlineLevel="0" collapsed="false">
      <c r="A17" s="5"/>
      <c r="B17" s="4"/>
    </row>
    <row r="18" customFormat="false" ht="23.85" hidden="false" customHeight="false" outlineLevel="0" collapsed="false">
      <c r="A18" s="3" t="s">
        <v>25</v>
      </c>
      <c r="B18" s="4" t="s">
        <v>26</v>
      </c>
    </row>
    <row r="19" customFormat="false" ht="23.85" hidden="false" customHeight="false" outlineLevel="0" collapsed="false">
      <c r="A19" s="3" t="s">
        <v>27</v>
      </c>
      <c r="B19" s="4" t="s">
        <v>28</v>
      </c>
    </row>
    <row r="20" customFormat="false" ht="23.85" hidden="false" customHeight="false" outlineLevel="0" collapsed="false">
      <c r="A20" s="3" t="s">
        <v>29</v>
      </c>
      <c r="B20" s="4" t="s">
        <v>30</v>
      </c>
    </row>
    <row r="22" customFormat="false" ht="15" hidden="false" customHeight="false" outlineLevel="0" collapsed="false">
      <c r="A22" s="12" t="s">
        <v>31</v>
      </c>
    </row>
    <row r="23" customFormat="false" ht="15" hidden="false" customHeight="false" outlineLevel="0" collapsed="false">
      <c r="A23" s="13" t="s">
        <v>15</v>
      </c>
      <c r="B23" s="13" t="n">
        <f aca="false">COUNTIF('Field Register'!$H$4:$H$30,"*AUTO*")</f>
        <v>15</v>
      </c>
    </row>
    <row r="24" customFormat="false" ht="15" hidden="false" customHeight="false" outlineLevel="0" collapsed="false">
      <c r="A24" s="13" t="s">
        <v>17</v>
      </c>
      <c r="B24" s="13" t="n">
        <f aca="false">COUNTIF('Field Register'!$H$4:$H$30,"*DERIVED*")</f>
        <v>7</v>
      </c>
    </row>
    <row r="25" customFormat="false" ht="15" hidden="false" customHeight="false" outlineLevel="0" collapsed="false">
      <c r="A25" s="13" t="s">
        <v>19</v>
      </c>
      <c r="B25" s="13" t="n">
        <f aca="false">COUNTIF('Field Register'!$H$4:$H$30,"*MANUAL*")</f>
        <v>11</v>
      </c>
    </row>
    <row r="26" customFormat="false" ht="15" hidden="false" customHeight="false" outlineLevel="0" collapsed="false">
      <c r="A26" s="13" t="s">
        <v>21</v>
      </c>
      <c r="B26" s="13" t="n">
        <f aca="false">COUNTIF('Field Register'!$H$4:$H$30,"*MASTER*")</f>
        <v>0</v>
      </c>
    </row>
    <row r="27" customFormat="false" ht="15" hidden="false" customHeight="false" outlineLevel="0" collapsed="false">
      <c r="A27" s="13" t="s">
        <v>23</v>
      </c>
      <c r="B27" s="13" t="n">
        <f aca="false">COUNTIF('Field Register'!$H$4:$H$30,"*SYSTEM*")</f>
        <v>1</v>
      </c>
    </row>
    <row r="28" customFormat="false" ht="15" hidden="false" customHeight="false" outlineLevel="0" collapsed="false">
      <c r="A28" s="14" t="s">
        <v>32</v>
      </c>
      <c r="B28" s="14" t="n">
        <f aca="false">COUNTA('Field Register'!$A$4:$A$30)</f>
        <v>27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7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52"/>
  </cols>
  <sheetData>
    <row r="1" customFormat="false" ht="24" hidden="false" customHeight="true" outlineLevel="0" collapsed="false">
      <c r="A1" s="15" t="s">
        <v>33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  <c r="G2" s="16"/>
    </row>
    <row r="3" customFormat="false" ht="30" hidden="false" customHeight="true" outlineLevel="0" collapsed="false">
      <c r="A3" s="17" t="s">
        <v>35</v>
      </c>
      <c r="B3" s="17" t="s">
        <v>36</v>
      </c>
      <c r="C3" s="17" t="s">
        <v>37</v>
      </c>
      <c r="D3" s="17" t="s">
        <v>38</v>
      </c>
      <c r="E3" s="17" t="s">
        <v>39</v>
      </c>
      <c r="F3" s="17" t="s">
        <v>40</v>
      </c>
      <c r="G3" s="17" t="s">
        <v>41</v>
      </c>
    </row>
    <row r="4" customFormat="false" ht="23.85" hidden="false" customHeight="false" outlineLevel="0" collapsed="false">
      <c r="A4" s="18" t="s">
        <v>42</v>
      </c>
      <c r="B4" s="18" t="s">
        <v>43</v>
      </c>
      <c r="C4" s="18" t="s">
        <v>44</v>
      </c>
      <c r="D4" s="18" t="s">
        <v>45</v>
      </c>
      <c r="E4" s="18" t="s">
        <v>46</v>
      </c>
      <c r="F4" s="18" t="s">
        <v>47</v>
      </c>
      <c r="G4" s="18" t="s">
        <v>48</v>
      </c>
    </row>
    <row r="5" customFormat="false" ht="23.85" hidden="false" customHeight="false" outlineLevel="0" collapsed="false">
      <c r="A5" s="18" t="s">
        <v>49</v>
      </c>
      <c r="B5" s="18" t="s">
        <v>50</v>
      </c>
      <c r="C5" s="18" t="s">
        <v>44</v>
      </c>
      <c r="D5" s="18" t="s">
        <v>45</v>
      </c>
      <c r="E5" s="18" t="s">
        <v>51</v>
      </c>
      <c r="F5" s="18" t="s">
        <v>52</v>
      </c>
      <c r="G5" s="18" t="s">
        <v>53</v>
      </c>
    </row>
    <row r="6" customFormat="false" ht="23.85" hidden="false" customHeight="false" outlineLevel="0" collapsed="false">
      <c r="A6" s="18" t="s">
        <v>54</v>
      </c>
      <c r="B6" s="18" t="s">
        <v>55</v>
      </c>
      <c r="C6" s="18" t="s">
        <v>56</v>
      </c>
      <c r="D6" s="18" t="s">
        <v>45</v>
      </c>
      <c r="E6" s="18" t="s">
        <v>51</v>
      </c>
      <c r="F6" s="18" t="s">
        <v>52</v>
      </c>
      <c r="G6" s="18" t="s">
        <v>57</v>
      </c>
    </row>
    <row r="7" customFormat="false" ht="15" hidden="false" customHeight="false" outlineLevel="0" collapsed="false">
      <c r="A7" s="19" t="s">
        <v>58</v>
      </c>
      <c r="B7" s="19"/>
      <c r="C7" s="19"/>
      <c r="D7" s="19"/>
      <c r="E7" s="19"/>
      <c r="F7" s="19"/>
      <c r="G7" s="19"/>
    </row>
    <row r="8" customFormat="false" ht="15" hidden="false" customHeight="false" outlineLevel="0" collapsed="false">
      <c r="A8" s="18" t="s">
        <v>59</v>
      </c>
      <c r="B8" s="18" t="s">
        <v>60</v>
      </c>
      <c r="C8" s="18" t="s">
        <v>61</v>
      </c>
      <c r="D8" s="18" t="s">
        <v>45</v>
      </c>
      <c r="E8" s="18" t="s">
        <v>62</v>
      </c>
      <c r="F8" s="18" t="s">
        <v>63</v>
      </c>
      <c r="G8" s="18" t="s">
        <v>64</v>
      </c>
    </row>
    <row r="9" customFormat="false" ht="15" hidden="false" customHeight="false" outlineLevel="0" collapsed="false">
      <c r="A9" s="18" t="s">
        <v>65</v>
      </c>
      <c r="B9" s="18" t="s">
        <v>66</v>
      </c>
      <c r="C9" s="18" t="s">
        <v>67</v>
      </c>
      <c r="D9" s="18" t="s">
        <v>68</v>
      </c>
      <c r="E9" s="18" t="s">
        <v>69</v>
      </c>
      <c r="F9" s="18" t="s">
        <v>70</v>
      </c>
      <c r="G9" s="18" t="s">
        <v>71</v>
      </c>
    </row>
    <row r="10" customFormat="false" ht="15" hidden="false" customHeight="false" outlineLevel="0" collapsed="false">
      <c r="A10" s="18" t="s">
        <v>72</v>
      </c>
      <c r="B10" s="18" t="s">
        <v>73</v>
      </c>
      <c r="C10" s="18" t="s">
        <v>63</v>
      </c>
      <c r="D10" s="18" t="s">
        <v>74</v>
      </c>
      <c r="E10" s="18" t="s">
        <v>75</v>
      </c>
      <c r="F10" s="18" t="s">
        <v>76</v>
      </c>
      <c r="G10" s="18" t="s">
        <v>77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7" min="6" style="0" width="8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5"/>
    <col collapsed="false" customWidth="true" hidden="false" outlineLevel="0" max="11" min="11" style="0" width="32"/>
    <col collapsed="false" customWidth="true" hidden="false" outlineLevel="0" max="12" min="12" style="0" width="28"/>
  </cols>
  <sheetData>
    <row r="1" customFormat="false" ht="24" hidden="false" customHeight="true" outlineLevel="0" collapsed="false">
      <c r="A1" s="15" t="s">
        <v>78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customFormat="false" ht="30" hidden="false" customHeight="true" outlineLevel="0" collapsed="false">
      <c r="A3" s="17" t="s">
        <v>79</v>
      </c>
      <c r="B3" s="17" t="s">
        <v>80</v>
      </c>
      <c r="C3" s="17" t="s">
        <v>81</v>
      </c>
      <c r="D3" s="17" t="s">
        <v>82</v>
      </c>
      <c r="E3" s="17" t="s">
        <v>83</v>
      </c>
      <c r="F3" s="17" t="s">
        <v>84</v>
      </c>
      <c r="G3" s="17" t="s">
        <v>85</v>
      </c>
      <c r="H3" s="17" t="s">
        <v>86</v>
      </c>
      <c r="I3" s="17" t="s">
        <v>87</v>
      </c>
      <c r="J3" s="17" t="s">
        <v>88</v>
      </c>
      <c r="K3" s="17" t="s">
        <v>89</v>
      </c>
      <c r="L3" s="17" t="s">
        <v>90</v>
      </c>
    </row>
    <row r="4" customFormat="false" ht="15" hidden="false" customHeight="false" outlineLevel="0" collapsed="false">
      <c r="A4" s="18" t="s">
        <v>91</v>
      </c>
      <c r="B4" s="18" t="s">
        <v>92</v>
      </c>
      <c r="C4" s="18" t="s">
        <v>93</v>
      </c>
      <c r="D4" s="18" t="s">
        <v>94</v>
      </c>
      <c r="E4" s="18" t="s">
        <v>47</v>
      </c>
      <c r="F4" s="18" t="s">
        <v>95</v>
      </c>
      <c r="G4" s="18" t="s">
        <v>63</v>
      </c>
      <c r="H4" s="20" t="s">
        <v>23</v>
      </c>
      <c r="I4" s="18" t="s">
        <v>96</v>
      </c>
      <c r="J4" s="18" t="s">
        <v>97</v>
      </c>
      <c r="K4" s="18" t="s">
        <v>98</v>
      </c>
      <c r="L4" s="18" t="s">
        <v>99</v>
      </c>
    </row>
    <row r="5" customFormat="false" ht="15" hidden="false" customHeight="false" outlineLevel="0" collapsed="false">
      <c r="A5" s="18" t="s">
        <v>100</v>
      </c>
      <c r="B5" s="18" t="s">
        <v>92</v>
      </c>
      <c r="C5" s="18" t="s">
        <v>101</v>
      </c>
      <c r="D5" s="18" t="s">
        <v>102</v>
      </c>
      <c r="E5" s="18" t="s">
        <v>47</v>
      </c>
      <c r="F5" s="18" t="s">
        <v>95</v>
      </c>
      <c r="G5" s="18" t="s">
        <v>63</v>
      </c>
      <c r="H5" s="21" t="s">
        <v>17</v>
      </c>
      <c r="I5" s="18" t="s">
        <v>103</v>
      </c>
      <c r="J5" s="18" t="s">
        <v>97</v>
      </c>
      <c r="K5" s="18" t="s">
        <v>104</v>
      </c>
      <c r="L5" s="18" t="s">
        <v>105</v>
      </c>
    </row>
    <row r="6" customFormat="false" ht="15" hidden="false" customHeight="false" outlineLevel="0" collapsed="false">
      <c r="A6" s="18" t="s">
        <v>106</v>
      </c>
      <c r="B6" s="18" t="s">
        <v>92</v>
      </c>
      <c r="C6" s="18" t="s">
        <v>107</v>
      </c>
      <c r="D6" s="18" t="s">
        <v>108</v>
      </c>
      <c r="E6" s="18" t="s">
        <v>47</v>
      </c>
      <c r="F6" s="18" t="s">
        <v>95</v>
      </c>
      <c r="G6" s="18" t="s">
        <v>63</v>
      </c>
      <c r="H6" s="21" t="s">
        <v>17</v>
      </c>
      <c r="I6" s="18" t="s">
        <v>109</v>
      </c>
      <c r="J6" s="18" t="s">
        <v>110</v>
      </c>
      <c r="K6" s="18" t="s">
        <v>111</v>
      </c>
      <c r="L6" s="18"/>
    </row>
    <row r="7" customFormat="false" ht="15" hidden="false" customHeight="false" outlineLevel="0" collapsed="false">
      <c r="A7" s="18" t="s">
        <v>112</v>
      </c>
      <c r="B7" s="18" t="s">
        <v>92</v>
      </c>
      <c r="C7" s="18" t="s">
        <v>113</v>
      </c>
      <c r="D7" s="18" t="s">
        <v>114</v>
      </c>
      <c r="E7" s="18" t="s">
        <v>47</v>
      </c>
      <c r="F7" s="18" t="s">
        <v>115</v>
      </c>
      <c r="G7" s="18" t="s">
        <v>116</v>
      </c>
      <c r="H7" s="21" t="s">
        <v>17</v>
      </c>
      <c r="I7" s="18" t="s">
        <v>109</v>
      </c>
      <c r="J7" s="18" t="s">
        <v>97</v>
      </c>
      <c r="K7" s="18" t="s">
        <v>63</v>
      </c>
      <c r="L7" s="18"/>
    </row>
    <row r="8" customFormat="false" ht="15" hidden="false" customHeight="false" outlineLevel="0" collapsed="false">
      <c r="A8" s="18" t="s">
        <v>117</v>
      </c>
      <c r="B8" s="18" t="s">
        <v>92</v>
      </c>
      <c r="C8" s="18" t="s">
        <v>118</v>
      </c>
      <c r="D8" s="18" t="s">
        <v>119</v>
      </c>
      <c r="E8" s="18" t="s">
        <v>47</v>
      </c>
      <c r="F8" s="18" t="s">
        <v>95</v>
      </c>
      <c r="G8" s="18" t="s">
        <v>63</v>
      </c>
      <c r="H8" s="21" t="s">
        <v>17</v>
      </c>
      <c r="I8" s="18" t="s">
        <v>120</v>
      </c>
      <c r="J8" s="18" t="s">
        <v>97</v>
      </c>
      <c r="K8" s="18" t="s">
        <v>63</v>
      </c>
      <c r="L8" s="18"/>
    </row>
    <row r="9" customFormat="false" ht="15" hidden="false" customHeight="false" outlineLevel="0" collapsed="false">
      <c r="A9" s="18" t="s">
        <v>121</v>
      </c>
      <c r="B9" s="18" t="s">
        <v>92</v>
      </c>
      <c r="C9" s="18" t="s">
        <v>122</v>
      </c>
      <c r="D9" s="18" t="s">
        <v>123</v>
      </c>
      <c r="E9" s="18" t="s">
        <v>47</v>
      </c>
      <c r="F9" s="18" t="s">
        <v>95</v>
      </c>
      <c r="G9" s="18" t="s">
        <v>63</v>
      </c>
      <c r="H9" s="21" t="s">
        <v>17</v>
      </c>
      <c r="I9" s="18" t="s">
        <v>109</v>
      </c>
      <c r="J9" s="18" t="s">
        <v>97</v>
      </c>
      <c r="K9" s="18" t="s">
        <v>124</v>
      </c>
      <c r="L9" s="18" t="s">
        <v>125</v>
      </c>
    </row>
    <row r="10" customFormat="false" ht="15" hidden="false" customHeight="false" outlineLevel="0" collapsed="false">
      <c r="A10" s="18" t="s">
        <v>126</v>
      </c>
      <c r="B10" s="18" t="s">
        <v>127</v>
      </c>
      <c r="C10" s="18" t="s">
        <v>128</v>
      </c>
      <c r="D10" s="18" t="s">
        <v>129</v>
      </c>
      <c r="E10" s="18" t="s">
        <v>47</v>
      </c>
      <c r="F10" s="18" t="s">
        <v>130</v>
      </c>
      <c r="G10" s="18" t="s">
        <v>131</v>
      </c>
      <c r="H10" s="22" t="s">
        <v>19</v>
      </c>
      <c r="I10" s="18" t="s">
        <v>132</v>
      </c>
      <c r="J10" s="18" t="s">
        <v>97</v>
      </c>
      <c r="K10" s="18" t="s">
        <v>133</v>
      </c>
      <c r="L10" s="18" t="s">
        <v>134</v>
      </c>
    </row>
    <row r="11" customFormat="false" ht="15" hidden="false" customHeight="false" outlineLevel="0" collapsed="false">
      <c r="A11" s="18" t="s">
        <v>135</v>
      </c>
      <c r="B11" s="18" t="s">
        <v>127</v>
      </c>
      <c r="C11" s="18" t="s">
        <v>136</v>
      </c>
      <c r="D11" s="18" t="s">
        <v>137</v>
      </c>
      <c r="E11" s="18" t="s">
        <v>47</v>
      </c>
      <c r="F11" s="18" t="s">
        <v>138</v>
      </c>
      <c r="G11" s="18" t="s">
        <v>63</v>
      </c>
      <c r="H11" s="21" t="s">
        <v>17</v>
      </c>
      <c r="I11" s="18" t="s">
        <v>139</v>
      </c>
      <c r="J11" s="18" t="s">
        <v>97</v>
      </c>
      <c r="K11" s="18" t="s">
        <v>140</v>
      </c>
      <c r="L11" s="18" t="s">
        <v>141</v>
      </c>
    </row>
    <row r="12" customFormat="false" ht="15" hidden="false" customHeight="false" outlineLevel="0" collapsed="false">
      <c r="A12" s="18" t="s">
        <v>142</v>
      </c>
      <c r="B12" s="18" t="s">
        <v>127</v>
      </c>
      <c r="C12" s="18" t="s">
        <v>143</v>
      </c>
      <c r="D12" s="18" t="s">
        <v>144</v>
      </c>
      <c r="E12" s="18" t="s">
        <v>47</v>
      </c>
      <c r="F12" s="18" t="s">
        <v>145</v>
      </c>
      <c r="G12" s="18" t="s">
        <v>146</v>
      </c>
      <c r="H12" s="23" t="s">
        <v>15</v>
      </c>
      <c r="I12" s="18" t="s">
        <v>147</v>
      </c>
      <c r="J12" s="18" t="s">
        <v>97</v>
      </c>
      <c r="K12" s="18" t="s">
        <v>148</v>
      </c>
      <c r="L12" s="18" t="s">
        <v>149</v>
      </c>
    </row>
    <row r="13" customFormat="false" ht="15" hidden="false" customHeight="false" outlineLevel="0" collapsed="false">
      <c r="A13" s="18" t="s">
        <v>150</v>
      </c>
      <c r="B13" s="18" t="s">
        <v>127</v>
      </c>
      <c r="C13" s="18" t="s">
        <v>151</v>
      </c>
      <c r="D13" s="18" t="s">
        <v>152</v>
      </c>
      <c r="E13" s="18" t="s">
        <v>47</v>
      </c>
      <c r="F13" s="18" t="s">
        <v>145</v>
      </c>
      <c r="G13" s="18" t="s">
        <v>146</v>
      </c>
      <c r="H13" s="23" t="s">
        <v>15</v>
      </c>
      <c r="I13" s="18" t="s">
        <v>147</v>
      </c>
      <c r="J13" s="18" t="s">
        <v>97</v>
      </c>
      <c r="K13" s="18" t="s">
        <v>153</v>
      </c>
      <c r="L13" s="18"/>
    </row>
    <row r="14" customFormat="false" ht="15" hidden="false" customHeight="false" outlineLevel="0" collapsed="false">
      <c r="A14" s="18" t="s">
        <v>154</v>
      </c>
      <c r="B14" s="18" t="s">
        <v>127</v>
      </c>
      <c r="C14" s="18" t="s">
        <v>155</v>
      </c>
      <c r="D14" s="18" t="s">
        <v>156</v>
      </c>
      <c r="E14" s="18" t="s">
        <v>47</v>
      </c>
      <c r="F14" s="18" t="s">
        <v>145</v>
      </c>
      <c r="G14" s="18" t="s">
        <v>146</v>
      </c>
      <c r="H14" s="23" t="s">
        <v>15</v>
      </c>
      <c r="I14" s="18" t="s">
        <v>147</v>
      </c>
      <c r="J14" s="18" t="s">
        <v>97</v>
      </c>
      <c r="K14" s="18" t="s">
        <v>153</v>
      </c>
      <c r="L14" s="18"/>
    </row>
    <row r="15" customFormat="false" ht="15" hidden="false" customHeight="false" outlineLevel="0" collapsed="false">
      <c r="A15" s="18" t="s">
        <v>157</v>
      </c>
      <c r="B15" s="18" t="s">
        <v>127</v>
      </c>
      <c r="C15" s="18" t="s">
        <v>158</v>
      </c>
      <c r="D15" s="18" t="s">
        <v>159</v>
      </c>
      <c r="E15" s="18" t="s">
        <v>47</v>
      </c>
      <c r="F15" s="18" t="s">
        <v>145</v>
      </c>
      <c r="G15" s="18" t="s">
        <v>146</v>
      </c>
      <c r="H15" s="23" t="s">
        <v>15</v>
      </c>
      <c r="I15" s="18" t="s">
        <v>147</v>
      </c>
      <c r="J15" s="18" t="s">
        <v>97</v>
      </c>
      <c r="K15" s="18" t="s">
        <v>153</v>
      </c>
      <c r="L15" s="18"/>
    </row>
    <row r="16" customFormat="false" ht="15" hidden="false" customHeight="false" outlineLevel="0" collapsed="false">
      <c r="A16" s="18" t="s">
        <v>160</v>
      </c>
      <c r="B16" s="18" t="s">
        <v>127</v>
      </c>
      <c r="C16" s="18" t="s">
        <v>161</v>
      </c>
      <c r="D16" s="18" t="s">
        <v>162</v>
      </c>
      <c r="E16" s="18" t="s">
        <v>47</v>
      </c>
      <c r="F16" s="18" t="s">
        <v>145</v>
      </c>
      <c r="G16" s="18" t="s">
        <v>146</v>
      </c>
      <c r="H16" s="23" t="s">
        <v>15</v>
      </c>
      <c r="I16" s="18" t="s">
        <v>147</v>
      </c>
      <c r="J16" s="18" t="s">
        <v>97</v>
      </c>
      <c r="K16" s="18" t="s">
        <v>153</v>
      </c>
      <c r="L16" s="18"/>
    </row>
    <row r="17" customFormat="false" ht="15" hidden="false" customHeight="false" outlineLevel="0" collapsed="false">
      <c r="A17" s="18" t="s">
        <v>163</v>
      </c>
      <c r="B17" s="18" t="s">
        <v>127</v>
      </c>
      <c r="C17" s="18" t="s">
        <v>164</v>
      </c>
      <c r="D17" s="18" t="s">
        <v>165</v>
      </c>
      <c r="E17" s="18" t="s">
        <v>47</v>
      </c>
      <c r="F17" s="18" t="s">
        <v>145</v>
      </c>
      <c r="G17" s="18" t="s">
        <v>146</v>
      </c>
      <c r="H17" s="23" t="s">
        <v>15</v>
      </c>
      <c r="I17" s="18" t="s">
        <v>147</v>
      </c>
      <c r="J17" s="18" t="s">
        <v>97</v>
      </c>
      <c r="K17" s="18" t="s">
        <v>153</v>
      </c>
      <c r="L17" s="18" t="s">
        <v>166</v>
      </c>
    </row>
    <row r="18" customFormat="false" ht="15" hidden="false" customHeight="false" outlineLevel="0" collapsed="false">
      <c r="A18" s="18" t="s">
        <v>167</v>
      </c>
      <c r="B18" s="18" t="s">
        <v>127</v>
      </c>
      <c r="C18" s="18" t="s">
        <v>168</v>
      </c>
      <c r="D18" s="18" t="s">
        <v>169</v>
      </c>
      <c r="E18" s="18" t="s">
        <v>47</v>
      </c>
      <c r="F18" s="18" t="s">
        <v>145</v>
      </c>
      <c r="G18" s="18" t="s">
        <v>170</v>
      </c>
      <c r="H18" s="23" t="s">
        <v>15</v>
      </c>
      <c r="I18" s="18" t="s">
        <v>147</v>
      </c>
      <c r="J18" s="18" t="s">
        <v>97</v>
      </c>
      <c r="K18" s="18" t="s">
        <v>171</v>
      </c>
      <c r="L18" s="18" t="s">
        <v>172</v>
      </c>
    </row>
    <row r="19" customFormat="false" ht="15" hidden="false" customHeight="false" outlineLevel="0" collapsed="false">
      <c r="A19" s="18" t="s">
        <v>173</v>
      </c>
      <c r="B19" s="18" t="s">
        <v>127</v>
      </c>
      <c r="C19" s="18" t="s">
        <v>174</v>
      </c>
      <c r="D19" s="18" t="s">
        <v>175</v>
      </c>
      <c r="E19" s="18" t="s">
        <v>47</v>
      </c>
      <c r="F19" s="18" t="s">
        <v>145</v>
      </c>
      <c r="G19" s="18" t="s">
        <v>176</v>
      </c>
      <c r="H19" s="23" t="s">
        <v>15</v>
      </c>
      <c r="I19" s="18" t="s">
        <v>177</v>
      </c>
      <c r="J19" s="18" t="s">
        <v>97</v>
      </c>
      <c r="K19" s="18" t="s">
        <v>63</v>
      </c>
      <c r="L19" s="18"/>
    </row>
    <row r="20" customFormat="false" ht="23.85" hidden="false" customHeight="false" outlineLevel="0" collapsed="false">
      <c r="A20" s="18" t="s">
        <v>178</v>
      </c>
      <c r="B20" s="18" t="s">
        <v>127</v>
      </c>
      <c r="C20" s="18" t="s">
        <v>179</v>
      </c>
      <c r="D20" s="18" t="s">
        <v>180</v>
      </c>
      <c r="E20" s="18" t="s">
        <v>47</v>
      </c>
      <c r="F20" s="18" t="s">
        <v>145</v>
      </c>
      <c r="G20" s="18" t="s">
        <v>181</v>
      </c>
      <c r="H20" s="23" t="s">
        <v>182</v>
      </c>
      <c r="I20" s="18" t="s">
        <v>183</v>
      </c>
      <c r="J20" s="18" t="s">
        <v>110</v>
      </c>
      <c r="K20" s="18" t="s">
        <v>63</v>
      </c>
      <c r="L20" s="18" t="s">
        <v>184</v>
      </c>
    </row>
    <row r="21" customFormat="false" ht="23.85" hidden="false" customHeight="false" outlineLevel="0" collapsed="false">
      <c r="A21" s="18" t="s">
        <v>185</v>
      </c>
      <c r="B21" s="18" t="s">
        <v>127</v>
      </c>
      <c r="C21" s="18" t="s">
        <v>186</v>
      </c>
      <c r="D21" s="18" t="s">
        <v>187</v>
      </c>
      <c r="E21" s="18" t="s">
        <v>47</v>
      </c>
      <c r="F21" s="18" t="s">
        <v>145</v>
      </c>
      <c r="G21" s="18" t="s">
        <v>188</v>
      </c>
      <c r="H21" s="23" t="s">
        <v>182</v>
      </c>
      <c r="I21" s="18" t="s">
        <v>183</v>
      </c>
      <c r="J21" s="18" t="s">
        <v>110</v>
      </c>
      <c r="K21" s="18" t="s">
        <v>63</v>
      </c>
      <c r="L21" s="18" t="s">
        <v>189</v>
      </c>
    </row>
    <row r="22" customFormat="false" ht="15" hidden="false" customHeight="false" outlineLevel="0" collapsed="false">
      <c r="A22" s="18" t="s">
        <v>190</v>
      </c>
      <c r="B22" s="18" t="s">
        <v>127</v>
      </c>
      <c r="C22" s="18" t="s">
        <v>191</v>
      </c>
      <c r="D22" s="18" t="s">
        <v>192</v>
      </c>
      <c r="E22" s="18" t="s">
        <v>47</v>
      </c>
      <c r="F22" s="18" t="s">
        <v>95</v>
      </c>
      <c r="G22" s="18" t="s">
        <v>63</v>
      </c>
      <c r="H22" s="22" t="s">
        <v>19</v>
      </c>
      <c r="I22" s="18" t="s">
        <v>132</v>
      </c>
      <c r="J22" s="18" t="s">
        <v>110</v>
      </c>
      <c r="K22" s="18" t="s">
        <v>63</v>
      </c>
      <c r="L22" s="18"/>
    </row>
    <row r="23" customFormat="false" ht="23.85" hidden="false" customHeight="false" outlineLevel="0" collapsed="false">
      <c r="A23" s="18" t="s">
        <v>193</v>
      </c>
      <c r="B23" s="18" t="s">
        <v>127</v>
      </c>
      <c r="C23" s="18" t="s">
        <v>194</v>
      </c>
      <c r="D23" s="18" t="s">
        <v>195</v>
      </c>
      <c r="E23" s="18" t="s">
        <v>47</v>
      </c>
      <c r="F23" s="18" t="s">
        <v>196</v>
      </c>
      <c r="G23" s="18" t="s">
        <v>63</v>
      </c>
      <c r="H23" s="22" t="s">
        <v>197</v>
      </c>
      <c r="I23" s="18" t="s">
        <v>198</v>
      </c>
      <c r="J23" s="18" t="s">
        <v>110</v>
      </c>
      <c r="K23" s="18" t="s">
        <v>199</v>
      </c>
      <c r="L23" s="18" t="s">
        <v>200</v>
      </c>
    </row>
    <row r="24" customFormat="false" ht="15" hidden="false" customHeight="false" outlineLevel="0" collapsed="false">
      <c r="A24" s="18" t="s">
        <v>201</v>
      </c>
      <c r="B24" s="18" t="s">
        <v>127</v>
      </c>
      <c r="C24" s="18" t="s">
        <v>202</v>
      </c>
      <c r="D24" s="18" t="s">
        <v>203</v>
      </c>
      <c r="E24" s="18" t="s">
        <v>47</v>
      </c>
      <c r="F24" s="18" t="s">
        <v>138</v>
      </c>
      <c r="G24" s="18" t="s">
        <v>63</v>
      </c>
      <c r="H24" s="22" t="s">
        <v>19</v>
      </c>
      <c r="I24" s="18" t="s">
        <v>204</v>
      </c>
      <c r="J24" s="18" t="s">
        <v>110</v>
      </c>
      <c r="K24" s="18" t="s">
        <v>205</v>
      </c>
      <c r="L24" s="18"/>
    </row>
    <row r="25" customFormat="false" ht="23.85" hidden="false" customHeight="false" outlineLevel="0" collapsed="false">
      <c r="A25" s="18" t="s">
        <v>206</v>
      </c>
      <c r="B25" s="18" t="s">
        <v>207</v>
      </c>
      <c r="C25" s="18" t="s">
        <v>208</v>
      </c>
      <c r="D25" s="18" t="s">
        <v>209</v>
      </c>
      <c r="E25" s="18" t="s">
        <v>52</v>
      </c>
      <c r="F25" s="18" t="s">
        <v>138</v>
      </c>
      <c r="G25" s="18" t="s">
        <v>63</v>
      </c>
      <c r="H25" s="21" t="s">
        <v>17</v>
      </c>
      <c r="I25" s="18" t="s">
        <v>210</v>
      </c>
      <c r="J25" s="18" t="s">
        <v>97</v>
      </c>
      <c r="K25" s="18" t="s">
        <v>211</v>
      </c>
      <c r="L25" s="18" t="s">
        <v>212</v>
      </c>
    </row>
    <row r="26" customFormat="false" ht="23.85" hidden="false" customHeight="false" outlineLevel="0" collapsed="false">
      <c r="A26" s="18" t="s">
        <v>213</v>
      </c>
      <c r="B26" s="18" t="s">
        <v>207</v>
      </c>
      <c r="C26" s="18" t="s">
        <v>214</v>
      </c>
      <c r="D26" s="18" t="s">
        <v>215</v>
      </c>
      <c r="E26" s="18" t="s">
        <v>52</v>
      </c>
      <c r="F26" s="18" t="s">
        <v>115</v>
      </c>
      <c r="G26" s="18" t="s">
        <v>216</v>
      </c>
      <c r="H26" s="23" t="s">
        <v>182</v>
      </c>
      <c r="I26" s="18" t="s">
        <v>217</v>
      </c>
      <c r="J26" s="18" t="s">
        <v>97</v>
      </c>
      <c r="K26" s="18" t="s">
        <v>218</v>
      </c>
      <c r="L26" s="18" t="s">
        <v>219</v>
      </c>
    </row>
    <row r="27" customFormat="false" ht="23.85" hidden="false" customHeight="false" outlineLevel="0" collapsed="false">
      <c r="A27" s="18" t="s">
        <v>220</v>
      </c>
      <c r="B27" s="18" t="s">
        <v>207</v>
      </c>
      <c r="C27" s="18" t="s">
        <v>221</v>
      </c>
      <c r="D27" s="18" t="s">
        <v>222</v>
      </c>
      <c r="E27" s="18" t="s">
        <v>52</v>
      </c>
      <c r="F27" s="18" t="s">
        <v>145</v>
      </c>
      <c r="G27" s="18" t="s">
        <v>146</v>
      </c>
      <c r="H27" s="23" t="s">
        <v>182</v>
      </c>
      <c r="I27" s="18" t="s">
        <v>223</v>
      </c>
      <c r="J27" s="18" t="s">
        <v>97</v>
      </c>
      <c r="K27" s="18" t="s">
        <v>224</v>
      </c>
      <c r="L27" s="18" t="s">
        <v>225</v>
      </c>
    </row>
    <row r="28" customFormat="false" ht="23.85" hidden="false" customHeight="false" outlineLevel="0" collapsed="false">
      <c r="A28" s="18" t="s">
        <v>226</v>
      </c>
      <c r="B28" s="18" t="s">
        <v>207</v>
      </c>
      <c r="C28" s="18" t="s">
        <v>227</v>
      </c>
      <c r="D28" s="18" t="s">
        <v>228</v>
      </c>
      <c r="E28" s="18" t="s">
        <v>52</v>
      </c>
      <c r="F28" s="18" t="s">
        <v>145</v>
      </c>
      <c r="G28" s="18" t="s">
        <v>229</v>
      </c>
      <c r="H28" s="23" t="s">
        <v>182</v>
      </c>
      <c r="I28" s="18" t="s">
        <v>223</v>
      </c>
      <c r="J28" s="18" t="s">
        <v>97</v>
      </c>
      <c r="K28" s="18" t="s">
        <v>230</v>
      </c>
      <c r="L28" s="18"/>
    </row>
    <row r="29" customFormat="false" ht="23.85" hidden="false" customHeight="false" outlineLevel="0" collapsed="false">
      <c r="A29" s="18" t="s">
        <v>231</v>
      </c>
      <c r="B29" s="18" t="s">
        <v>207</v>
      </c>
      <c r="C29" s="18" t="s">
        <v>232</v>
      </c>
      <c r="D29" s="18" t="s">
        <v>233</v>
      </c>
      <c r="E29" s="18" t="s">
        <v>52</v>
      </c>
      <c r="F29" s="18" t="s">
        <v>145</v>
      </c>
      <c r="G29" s="18" t="s">
        <v>234</v>
      </c>
      <c r="H29" s="23" t="s">
        <v>182</v>
      </c>
      <c r="I29" s="18" t="s">
        <v>223</v>
      </c>
      <c r="J29" s="18" t="s">
        <v>97</v>
      </c>
      <c r="K29" s="18" t="s">
        <v>235</v>
      </c>
      <c r="L29" s="18"/>
    </row>
    <row r="30" customFormat="false" ht="15" hidden="false" customHeight="false" outlineLevel="0" collapsed="false">
      <c r="A30" s="18" t="s">
        <v>236</v>
      </c>
      <c r="B30" s="18" t="s">
        <v>207</v>
      </c>
      <c r="C30" s="18" t="s">
        <v>237</v>
      </c>
      <c r="D30" s="18" t="s">
        <v>238</v>
      </c>
      <c r="E30" s="18" t="s">
        <v>52</v>
      </c>
      <c r="F30" s="18" t="s">
        <v>239</v>
      </c>
      <c r="G30" s="18" t="s">
        <v>63</v>
      </c>
      <c r="H30" s="22" t="s">
        <v>19</v>
      </c>
      <c r="I30" s="18" t="s">
        <v>132</v>
      </c>
      <c r="J30" s="18" t="s">
        <v>110</v>
      </c>
      <c r="K30" s="18" t="s">
        <v>63</v>
      </c>
      <c r="L30" s="18" t="s">
        <v>240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4" hidden="false" customHeight="true" outlineLevel="0" collapsed="false">
      <c r="A1" s="15" t="s">
        <v>241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</row>
    <row r="3" customFormat="false" ht="30" hidden="false" customHeight="true" outlineLevel="0" collapsed="false">
      <c r="A3" s="17" t="s">
        <v>242</v>
      </c>
      <c r="B3" s="17" t="s">
        <v>243</v>
      </c>
      <c r="C3" s="17" t="s">
        <v>244</v>
      </c>
      <c r="D3" s="17" t="s">
        <v>245</v>
      </c>
      <c r="E3" s="17" t="s">
        <v>246</v>
      </c>
      <c r="F3" s="17" t="s">
        <v>90</v>
      </c>
    </row>
    <row r="4" customFormat="false" ht="15" hidden="false" customHeight="false" outlineLevel="0" collapsed="false">
      <c r="A4" s="18" t="s">
        <v>247</v>
      </c>
      <c r="B4" s="18" t="s">
        <v>119</v>
      </c>
      <c r="C4" s="18" t="s">
        <v>47</v>
      </c>
      <c r="D4" s="18" t="s">
        <v>45</v>
      </c>
      <c r="E4" s="18" t="s">
        <v>63</v>
      </c>
      <c r="F4" s="18"/>
    </row>
    <row r="5" customFormat="false" ht="15" hidden="false" customHeight="false" outlineLevel="0" collapsed="false">
      <c r="A5" s="18" t="s">
        <v>107</v>
      </c>
      <c r="B5" s="18" t="s">
        <v>108</v>
      </c>
      <c r="C5" s="18" t="s">
        <v>47</v>
      </c>
      <c r="D5" s="18" t="s">
        <v>45</v>
      </c>
      <c r="E5" s="18" t="s">
        <v>63</v>
      </c>
      <c r="F5" s="18"/>
    </row>
    <row r="6" customFormat="false" ht="15" hidden="false" customHeight="false" outlineLevel="0" collapsed="false">
      <c r="A6" s="18" t="s">
        <v>248</v>
      </c>
      <c r="B6" s="18" t="s">
        <v>123</v>
      </c>
      <c r="C6" s="18" t="s">
        <v>47</v>
      </c>
      <c r="D6" s="18" t="s">
        <v>45</v>
      </c>
      <c r="E6" s="18" t="s">
        <v>63</v>
      </c>
      <c r="F6" s="18" t="s">
        <v>249</v>
      </c>
    </row>
    <row r="7" customFormat="false" ht="15" hidden="false" customHeight="false" outlineLevel="0" collapsed="false">
      <c r="A7" s="18" t="s">
        <v>250</v>
      </c>
      <c r="B7" s="18" t="s">
        <v>114</v>
      </c>
      <c r="C7" s="18" t="s">
        <v>47</v>
      </c>
      <c r="D7" s="18" t="s">
        <v>45</v>
      </c>
      <c r="E7" s="18" t="s">
        <v>63</v>
      </c>
      <c r="F7" s="18"/>
    </row>
    <row r="8" customFormat="false" ht="15" hidden="false" customHeight="false" outlineLevel="0" collapsed="false">
      <c r="A8" s="18" t="s">
        <v>251</v>
      </c>
      <c r="B8" s="18" t="s">
        <v>252</v>
      </c>
      <c r="C8" s="18" t="s">
        <v>47</v>
      </c>
      <c r="D8" s="18" t="s">
        <v>45</v>
      </c>
      <c r="E8" s="18" t="s">
        <v>63</v>
      </c>
      <c r="F8" s="18" t="s">
        <v>253</v>
      </c>
    </row>
    <row r="9" customFormat="false" ht="15" hidden="false" customHeight="false" outlineLevel="0" collapsed="false">
      <c r="A9" s="18" t="s">
        <v>254</v>
      </c>
      <c r="B9" s="18" t="s">
        <v>255</v>
      </c>
      <c r="C9" s="18" t="s">
        <v>256</v>
      </c>
      <c r="D9" s="18" t="s">
        <v>45</v>
      </c>
      <c r="E9" s="18" t="s">
        <v>63</v>
      </c>
      <c r="F9" s="18"/>
    </row>
    <row r="10" customFormat="false" ht="15" hidden="false" customHeight="false" outlineLevel="0" collapsed="false">
      <c r="A10" s="18" t="s">
        <v>257</v>
      </c>
      <c r="B10" s="18" t="s">
        <v>175</v>
      </c>
      <c r="C10" s="18" t="s">
        <v>47</v>
      </c>
      <c r="D10" s="18" t="s">
        <v>63</v>
      </c>
      <c r="E10" s="18" t="s">
        <v>45</v>
      </c>
      <c r="F10" s="18" t="s">
        <v>258</v>
      </c>
    </row>
    <row r="11" customFormat="false" ht="15" hidden="false" customHeight="false" outlineLevel="0" collapsed="false">
      <c r="A11" s="18" t="s">
        <v>259</v>
      </c>
      <c r="B11" s="18" t="s">
        <v>203</v>
      </c>
      <c r="C11" s="18" t="s">
        <v>47</v>
      </c>
      <c r="D11" s="18" t="s">
        <v>63</v>
      </c>
      <c r="E11" s="18" t="s">
        <v>45</v>
      </c>
      <c r="F11" s="18" t="s">
        <v>258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24" hidden="false" customHeight="true" outlineLevel="0" collapsed="false">
      <c r="A1" s="15" t="s">
        <v>260</v>
      </c>
      <c r="B1" s="15"/>
      <c r="C1" s="15"/>
      <c r="D1" s="15"/>
      <c r="E1" s="15"/>
      <c r="F1" s="15"/>
      <c r="G1" s="15"/>
      <c r="H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  <c r="G2" s="16"/>
      <c r="H2" s="16"/>
    </row>
    <row r="3" customFormat="false" ht="30" hidden="false" customHeight="true" outlineLevel="0" collapsed="false">
      <c r="A3" s="17" t="s">
        <v>261</v>
      </c>
      <c r="B3" s="17" t="s">
        <v>262</v>
      </c>
      <c r="C3" s="17" t="s">
        <v>263</v>
      </c>
      <c r="D3" s="17" t="s">
        <v>264</v>
      </c>
      <c r="E3" s="17" t="s">
        <v>265</v>
      </c>
      <c r="F3" s="17" t="s">
        <v>266</v>
      </c>
      <c r="G3" s="17" t="s">
        <v>267</v>
      </c>
      <c r="H3" s="17" t="s">
        <v>268</v>
      </c>
    </row>
    <row r="4" customFormat="false" ht="23.85" hidden="false" customHeight="false" outlineLevel="0" collapsed="false">
      <c r="A4" s="18" t="s">
        <v>269</v>
      </c>
      <c r="B4" s="18" t="s">
        <v>270</v>
      </c>
      <c r="C4" s="18" t="s">
        <v>271</v>
      </c>
      <c r="D4" s="18" t="s">
        <v>272</v>
      </c>
      <c r="E4" s="18" t="s">
        <v>273</v>
      </c>
      <c r="F4" s="18" t="s">
        <v>274</v>
      </c>
      <c r="G4" s="18" t="s">
        <v>275</v>
      </c>
      <c r="H4" s="18" t="s">
        <v>276</v>
      </c>
    </row>
    <row r="5" customFormat="false" ht="23.85" hidden="false" customHeight="false" outlineLevel="0" collapsed="false">
      <c r="A5" s="18" t="s">
        <v>277</v>
      </c>
      <c r="B5" s="18" t="s">
        <v>270</v>
      </c>
      <c r="C5" s="18" t="s">
        <v>271</v>
      </c>
      <c r="D5" s="18" t="s">
        <v>272</v>
      </c>
      <c r="E5" s="18" t="s">
        <v>278</v>
      </c>
      <c r="F5" s="18" t="s">
        <v>274</v>
      </c>
      <c r="G5" s="18" t="s">
        <v>275</v>
      </c>
      <c r="H5" s="18" t="s">
        <v>276</v>
      </c>
    </row>
    <row r="6" customFormat="false" ht="23.85" hidden="false" customHeight="false" outlineLevel="0" collapsed="false">
      <c r="A6" s="18" t="s">
        <v>279</v>
      </c>
      <c r="B6" s="18" t="s">
        <v>280</v>
      </c>
      <c r="C6" s="18" t="s">
        <v>281</v>
      </c>
      <c r="D6" s="18" t="s">
        <v>272</v>
      </c>
      <c r="E6" s="18" t="s">
        <v>282</v>
      </c>
      <c r="F6" s="18" t="s">
        <v>274</v>
      </c>
      <c r="G6" s="18" t="s">
        <v>275</v>
      </c>
      <c r="H6" s="18" t="s">
        <v>276</v>
      </c>
    </row>
    <row r="7" customFormat="false" ht="23.85" hidden="false" customHeight="false" outlineLevel="0" collapsed="false">
      <c r="A7" s="18" t="s">
        <v>283</v>
      </c>
      <c r="B7" s="18" t="s">
        <v>284</v>
      </c>
      <c r="C7" s="18" t="s">
        <v>63</v>
      </c>
      <c r="D7" s="18" t="s">
        <v>285</v>
      </c>
      <c r="E7" s="18" t="s">
        <v>286</v>
      </c>
      <c r="F7" s="18" t="s">
        <v>274</v>
      </c>
      <c r="G7" s="18" t="s">
        <v>287</v>
      </c>
      <c r="H7" s="18" t="s">
        <v>288</v>
      </c>
    </row>
    <row r="8" customFormat="false" ht="23.85" hidden="false" customHeight="false" outlineLevel="0" collapsed="false">
      <c r="A8" s="18" t="s">
        <v>289</v>
      </c>
      <c r="B8" s="18" t="s">
        <v>290</v>
      </c>
      <c r="C8" s="18" t="s">
        <v>63</v>
      </c>
      <c r="D8" s="18" t="s">
        <v>63</v>
      </c>
      <c r="E8" s="18" t="s">
        <v>291</v>
      </c>
      <c r="F8" s="18" t="s">
        <v>292</v>
      </c>
      <c r="G8" s="18" t="s">
        <v>293</v>
      </c>
      <c r="H8" s="18" t="s">
        <v>294</v>
      </c>
    </row>
    <row r="9" customFormat="false" ht="23.85" hidden="false" customHeight="false" outlineLevel="0" collapsed="false">
      <c r="A9" s="18" t="s">
        <v>295</v>
      </c>
      <c r="B9" s="18" t="s">
        <v>290</v>
      </c>
      <c r="C9" s="18" t="s">
        <v>63</v>
      </c>
      <c r="D9" s="18" t="s">
        <v>63</v>
      </c>
      <c r="E9" s="18" t="s">
        <v>291</v>
      </c>
      <c r="F9" s="18" t="s">
        <v>292</v>
      </c>
      <c r="G9" s="18" t="s">
        <v>293</v>
      </c>
      <c r="H9" s="18" t="s">
        <v>296</v>
      </c>
    </row>
    <row r="10" customFormat="false" ht="102.2" hidden="false" customHeight="false" outlineLevel="0" collapsed="false">
      <c r="A10" s="19" t="s">
        <v>297</v>
      </c>
      <c r="B10" s="19" t="s">
        <v>298</v>
      </c>
      <c r="C10" s="19"/>
      <c r="D10" s="19"/>
      <c r="E10" s="19"/>
      <c r="F10" s="19"/>
      <c r="G10" s="19"/>
      <c r="H10" s="19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24" hidden="false" customHeight="true" outlineLevel="0" collapsed="false">
      <c r="A1" s="15" t="s">
        <v>299</v>
      </c>
      <c r="B1" s="15"/>
      <c r="C1" s="15"/>
      <c r="D1" s="15"/>
    </row>
    <row r="2" customFormat="false" ht="15" hidden="false" customHeight="false" outlineLevel="0" collapsed="false">
      <c r="A2" s="16" t="s">
        <v>34</v>
      </c>
      <c r="B2" s="16"/>
      <c r="C2" s="16"/>
      <c r="D2" s="16"/>
    </row>
    <row r="3" customFormat="false" ht="30" hidden="false" customHeight="true" outlineLevel="0" collapsed="false">
      <c r="A3" s="17" t="s">
        <v>300</v>
      </c>
      <c r="B3" s="17" t="s">
        <v>301</v>
      </c>
      <c r="C3" s="17" t="s">
        <v>85</v>
      </c>
      <c r="D3" s="17" t="s">
        <v>302</v>
      </c>
    </row>
    <row r="4" customFormat="false" ht="15" hidden="false" customHeight="false" outlineLevel="0" collapsed="false">
      <c r="A4" s="18" t="s">
        <v>303</v>
      </c>
      <c r="B4" s="18" t="s">
        <v>304</v>
      </c>
      <c r="C4" s="18" t="s">
        <v>305</v>
      </c>
      <c r="D4" s="18" t="s">
        <v>306</v>
      </c>
    </row>
    <row r="5" customFormat="false" ht="15" hidden="false" customHeight="false" outlineLevel="0" collapsed="false">
      <c r="A5" s="18" t="s">
        <v>303</v>
      </c>
      <c r="B5" s="18" t="s">
        <v>307</v>
      </c>
      <c r="C5" s="18" t="s">
        <v>146</v>
      </c>
      <c r="D5" s="18" t="s">
        <v>308</v>
      </c>
    </row>
    <row r="6" customFormat="false" ht="15" hidden="false" customHeight="false" outlineLevel="0" collapsed="false">
      <c r="A6" s="18" t="s">
        <v>303</v>
      </c>
      <c r="B6" s="18" t="s">
        <v>309</v>
      </c>
      <c r="C6" s="18" t="s">
        <v>305</v>
      </c>
      <c r="D6" s="18" t="s">
        <v>310</v>
      </c>
    </row>
    <row r="7" customFormat="false" ht="15" hidden="false" customHeight="false" outlineLevel="0" collapsed="false">
      <c r="A7" s="18" t="s">
        <v>303</v>
      </c>
      <c r="B7" s="18" t="s">
        <v>311</v>
      </c>
      <c r="C7" s="18" t="s">
        <v>305</v>
      </c>
      <c r="D7" s="18" t="s">
        <v>310</v>
      </c>
    </row>
    <row r="8" customFormat="false" ht="15" hidden="false" customHeight="false" outlineLevel="0" collapsed="false">
      <c r="A8" s="18" t="s">
        <v>303</v>
      </c>
      <c r="B8" s="18" t="s">
        <v>312</v>
      </c>
      <c r="C8" s="18" t="s">
        <v>313</v>
      </c>
      <c r="D8" s="18" t="s">
        <v>314</v>
      </c>
    </row>
    <row r="9" customFormat="false" ht="15" hidden="false" customHeight="false" outlineLevel="0" collapsed="false">
      <c r="A9" s="18" t="s">
        <v>303</v>
      </c>
      <c r="B9" s="18" t="s">
        <v>315</v>
      </c>
      <c r="C9" s="18" t="s">
        <v>305</v>
      </c>
      <c r="D9" s="18" t="s">
        <v>316</v>
      </c>
    </row>
    <row r="10" customFormat="false" ht="15" hidden="false" customHeight="false" outlineLevel="0" collapsed="false">
      <c r="A10" s="18" t="s">
        <v>303</v>
      </c>
      <c r="B10" s="18" t="s">
        <v>317</v>
      </c>
      <c r="C10" s="18" t="s">
        <v>313</v>
      </c>
      <c r="D10" s="18" t="s">
        <v>318</v>
      </c>
    </row>
    <row r="11" customFormat="false" ht="15" hidden="false" customHeight="false" outlineLevel="0" collapsed="false">
      <c r="A11" s="18" t="s">
        <v>303</v>
      </c>
      <c r="B11" s="18" t="s">
        <v>319</v>
      </c>
      <c r="C11" s="18" t="s">
        <v>146</v>
      </c>
      <c r="D11" s="18" t="s">
        <v>320</v>
      </c>
    </row>
    <row r="12" customFormat="false" ht="15" hidden="false" customHeight="false" outlineLevel="0" collapsed="false">
      <c r="A12" s="18" t="s">
        <v>303</v>
      </c>
      <c r="B12" s="18" t="s">
        <v>321</v>
      </c>
      <c r="C12" s="18" t="s">
        <v>305</v>
      </c>
      <c r="D12" s="18" t="s">
        <v>322</v>
      </c>
    </row>
    <row r="13" customFormat="false" ht="15" hidden="false" customHeight="false" outlineLevel="0" collapsed="false">
      <c r="A13" s="18" t="s">
        <v>303</v>
      </c>
      <c r="B13" s="18" t="s">
        <v>323</v>
      </c>
      <c r="C13" s="18" t="s">
        <v>146</v>
      </c>
      <c r="D13" s="18" t="s">
        <v>324</v>
      </c>
    </row>
    <row r="14" customFormat="false" ht="15" hidden="false" customHeight="false" outlineLevel="0" collapsed="false">
      <c r="A14" s="18" t="s">
        <v>303</v>
      </c>
      <c r="B14" s="18" t="s">
        <v>325</v>
      </c>
      <c r="C14" s="18" t="s">
        <v>234</v>
      </c>
      <c r="D14" s="18" t="s">
        <v>235</v>
      </c>
    </row>
    <row r="15" customFormat="false" ht="15" hidden="false" customHeight="false" outlineLevel="0" collapsed="false">
      <c r="A15" s="18" t="s">
        <v>303</v>
      </c>
      <c r="B15" s="18" t="s">
        <v>221</v>
      </c>
      <c r="C15" s="18" t="s">
        <v>146</v>
      </c>
      <c r="D15" s="18" t="s">
        <v>326</v>
      </c>
    </row>
    <row r="16" customFormat="false" ht="15" hidden="false" customHeight="false" outlineLevel="0" collapsed="false">
      <c r="A16" s="18" t="s">
        <v>303</v>
      </c>
      <c r="B16" s="18" t="s">
        <v>327</v>
      </c>
      <c r="C16" s="18" t="s">
        <v>229</v>
      </c>
      <c r="D16" s="18" t="s">
        <v>328</v>
      </c>
    </row>
    <row r="17" customFormat="false" ht="15" hidden="false" customHeight="false" outlineLevel="0" collapsed="false">
      <c r="A17" s="18" t="s">
        <v>329</v>
      </c>
      <c r="B17" s="18" t="s">
        <v>330</v>
      </c>
      <c r="C17" s="18" t="s">
        <v>305</v>
      </c>
      <c r="D17" s="18" t="s">
        <v>331</v>
      </c>
    </row>
    <row r="18" customFormat="false" ht="15" hidden="false" customHeight="false" outlineLevel="0" collapsed="false">
      <c r="A18" s="18" t="s">
        <v>329</v>
      </c>
      <c r="B18" s="18" t="s">
        <v>332</v>
      </c>
      <c r="C18" s="18" t="s">
        <v>313</v>
      </c>
      <c r="D18" s="18" t="s">
        <v>333</v>
      </c>
    </row>
    <row r="19" customFormat="false" ht="15" hidden="false" customHeight="false" outlineLevel="0" collapsed="false">
      <c r="A19" s="18" t="s">
        <v>329</v>
      </c>
      <c r="B19" s="18" t="s">
        <v>334</v>
      </c>
      <c r="C19" s="18" t="s">
        <v>313</v>
      </c>
      <c r="D19" s="18" t="s">
        <v>335</v>
      </c>
    </row>
    <row r="20" customFormat="false" ht="15" hidden="false" customHeight="false" outlineLevel="0" collapsed="false">
      <c r="A20" s="18" t="s">
        <v>329</v>
      </c>
      <c r="B20" s="18" t="s">
        <v>336</v>
      </c>
      <c r="C20" s="18" t="s">
        <v>313</v>
      </c>
      <c r="D20" s="18" t="s">
        <v>337</v>
      </c>
    </row>
    <row r="21" customFormat="false" ht="15" hidden="false" customHeight="false" outlineLevel="0" collapsed="false">
      <c r="A21" s="18" t="s">
        <v>329</v>
      </c>
      <c r="B21" s="18" t="s">
        <v>338</v>
      </c>
      <c r="C21" s="18" t="s">
        <v>146</v>
      </c>
      <c r="D21" s="18" t="s">
        <v>339</v>
      </c>
    </row>
    <row r="22" customFormat="false" ht="15" hidden="false" customHeight="false" outlineLevel="0" collapsed="false">
      <c r="A22" s="18" t="s">
        <v>329</v>
      </c>
      <c r="B22" s="18" t="s">
        <v>304</v>
      </c>
      <c r="C22" s="18" t="s">
        <v>305</v>
      </c>
      <c r="D22" s="18" t="s">
        <v>340</v>
      </c>
    </row>
    <row r="23" customFormat="false" ht="15" hidden="false" customHeight="false" outlineLevel="0" collapsed="false">
      <c r="A23" s="18" t="s">
        <v>329</v>
      </c>
      <c r="B23" s="18" t="s">
        <v>341</v>
      </c>
      <c r="C23" s="18" t="s">
        <v>305</v>
      </c>
      <c r="D23" s="18" t="s">
        <v>342</v>
      </c>
    </row>
    <row r="24" customFormat="false" ht="15" hidden="false" customHeight="false" outlineLevel="0" collapsed="false">
      <c r="A24" s="18" t="s">
        <v>329</v>
      </c>
      <c r="B24" s="18" t="s">
        <v>343</v>
      </c>
      <c r="C24" s="18" t="s">
        <v>181</v>
      </c>
      <c r="D24" s="18" t="s">
        <v>344</v>
      </c>
    </row>
    <row r="25" customFormat="false" ht="15" hidden="false" customHeight="false" outlineLevel="0" collapsed="false">
      <c r="A25" s="18" t="s">
        <v>329</v>
      </c>
      <c r="B25" s="18" t="s">
        <v>345</v>
      </c>
      <c r="C25" s="18" t="s">
        <v>146</v>
      </c>
      <c r="D25" s="18" t="s">
        <v>346</v>
      </c>
    </row>
    <row r="26" customFormat="false" ht="15" hidden="false" customHeight="false" outlineLevel="0" collapsed="false">
      <c r="A26" s="18" t="s">
        <v>329</v>
      </c>
      <c r="B26" s="18" t="s">
        <v>347</v>
      </c>
      <c r="C26" s="18" t="s">
        <v>348</v>
      </c>
      <c r="D26" s="18" t="s">
        <v>349</v>
      </c>
    </row>
    <row r="27" customFormat="false" ht="15" hidden="false" customHeight="false" outlineLevel="0" collapsed="false">
      <c r="A27" s="18" t="s">
        <v>329</v>
      </c>
      <c r="B27" s="18" t="s">
        <v>350</v>
      </c>
      <c r="C27" s="18" t="s">
        <v>229</v>
      </c>
      <c r="D27" s="18" t="s">
        <v>351</v>
      </c>
    </row>
    <row r="28" customFormat="false" ht="15" hidden="false" customHeight="false" outlineLevel="0" collapsed="false">
      <c r="A28" s="18" t="s">
        <v>329</v>
      </c>
      <c r="B28" s="18" t="s">
        <v>325</v>
      </c>
      <c r="C28" s="18" t="s">
        <v>234</v>
      </c>
      <c r="D28" s="18" t="s">
        <v>235</v>
      </c>
    </row>
    <row r="29" customFormat="false" ht="15" hidden="false" customHeight="false" outlineLevel="0" collapsed="false">
      <c r="A29" s="18" t="s">
        <v>329</v>
      </c>
      <c r="B29" s="18" t="s">
        <v>221</v>
      </c>
      <c r="C29" s="18" t="s">
        <v>146</v>
      </c>
      <c r="D29" s="18" t="s">
        <v>352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44"/>
  </cols>
  <sheetData>
    <row r="1" customFormat="false" ht="24" hidden="false" customHeight="true" outlineLevel="0" collapsed="false">
      <c r="A1" s="15" t="s">
        <v>353</v>
      </c>
      <c r="B1" s="15"/>
      <c r="C1" s="15"/>
    </row>
    <row r="2" customFormat="false" ht="15" hidden="false" customHeight="false" outlineLevel="0" collapsed="false">
      <c r="A2" s="16" t="s">
        <v>34</v>
      </c>
      <c r="B2" s="16"/>
      <c r="C2" s="16"/>
    </row>
    <row r="3" customFormat="false" ht="30" hidden="false" customHeight="true" outlineLevel="0" collapsed="false">
      <c r="A3" s="17" t="s">
        <v>354</v>
      </c>
      <c r="B3" s="17" t="s">
        <v>355</v>
      </c>
      <c r="C3" s="17" t="s">
        <v>90</v>
      </c>
    </row>
    <row r="4" customFormat="false" ht="15" hidden="false" customHeight="false" outlineLevel="0" collapsed="false">
      <c r="A4" s="18" t="s">
        <v>356</v>
      </c>
      <c r="B4" s="18" t="s">
        <v>357</v>
      </c>
      <c r="C4" s="18" t="s">
        <v>358</v>
      </c>
    </row>
    <row r="5" customFormat="false" ht="15" hidden="false" customHeight="false" outlineLevel="0" collapsed="false">
      <c r="A5" s="18" t="s">
        <v>359</v>
      </c>
      <c r="B5" s="18" t="s">
        <v>360</v>
      </c>
      <c r="C5" s="18" t="s">
        <v>361</v>
      </c>
    </row>
    <row r="6" customFormat="false" ht="15" hidden="false" customHeight="false" outlineLevel="0" collapsed="false">
      <c r="A6" s="18" t="s">
        <v>362</v>
      </c>
      <c r="B6" s="18" t="s">
        <v>211</v>
      </c>
      <c r="C6" s="18" t="s">
        <v>363</v>
      </c>
    </row>
    <row r="7" customFormat="false" ht="15" hidden="false" customHeight="false" outlineLevel="0" collapsed="false">
      <c r="A7" s="18" t="s">
        <v>364</v>
      </c>
      <c r="B7" s="18" t="s">
        <v>365</v>
      </c>
      <c r="C7" s="18" t="s">
        <v>366</v>
      </c>
    </row>
    <row r="8" customFormat="false" ht="15" hidden="false" customHeight="false" outlineLevel="0" collapsed="false">
      <c r="A8" s="18" t="s">
        <v>12</v>
      </c>
      <c r="B8" s="18" t="s">
        <v>367</v>
      </c>
      <c r="C8" s="18" t="s">
        <v>368</v>
      </c>
    </row>
    <row r="9" customFormat="false" ht="23.85" hidden="false" customHeight="false" outlineLevel="0" collapsed="false">
      <c r="A9" s="18" t="s">
        <v>369</v>
      </c>
      <c r="B9" s="18" t="s">
        <v>370</v>
      </c>
      <c r="C9" s="18"/>
    </row>
    <row r="10" customFormat="false" ht="15" hidden="false" customHeight="false" outlineLevel="0" collapsed="false">
      <c r="A10" s="18" t="s">
        <v>371</v>
      </c>
      <c r="B10" s="18" t="s">
        <v>372</v>
      </c>
      <c r="C10" s="18"/>
    </row>
    <row r="11" customFormat="false" ht="15" hidden="false" customHeight="false" outlineLevel="0" collapsed="false">
      <c r="A11" s="18" t="s">
        <v>373</v>
      </c>
      <c r="B11" s="18" t="s">
        <v>374</v>
      </c>
      <c r="C11" s="18" t="s">
        <v>375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70"/>
  </cols>
  <sheetData>
    <row r="1" customFormat="false" ht="24" hidden="false" customHeight="true" outlineLevel="0" collapsed="false">
      <c r="A1" s="15" t="s">
        <v>376</v>
      </c>
      <c r="B1" s="15"/>
      <c r="C1" s="15"/>
      <c r="D1" s="15"/>
    </row>
    <row r="2" customFormat="false" ht="15" hidden="false" customHeight="false" outlineLevel="0" collapsed="false">
      <c r="A2" s="16" t="s">
        <v>34</v>
      </c>
      <c r="B2" s="16"/>
      <c r="C2" s="16"/>
      <c r="D2" s="16"/>
    </row>
    <row r="3" customFormat="false" ht="30" hidden="false" customHeight="true" outlineLevel="0" collapsed="false">
      <c r="A3" s="17" t="s">
        <v>377</v>
      </c>
      <c r="B3" s="17" t="s">
        <v>87</v>
      </c>
      <c r="C3" s="17" t="s">
        <v>378</v>
      </c>
      <c r="D3" s="17" t="s">
        <v>379</v>
      </c>
    </row>
    <row r="4" customFormat="false" ht="15" hidden="false" customHeight="false" outlineLevel="0" collapsed="false">
      <c r="A4" s="18" t="s">
        <v>380</v>
      </c>
      <c r="B4" s="18" t="s">
        <v>381</v>
      </c>
      <c r="C4" s="18" t="s">
        <v>382</v>
      </c>
      <c r="D4" s="18" t="s">
        <v>383</v>
      </c>
    </row>
    <row r="5" customFormat="false" ht="15" hidden="false" customHeight="false" outlineLevel="0" collapsed="false">
      <c r="A5" s="18" t="s">
        <v>384</v>
      </c>
      <c r="B5" s="18" t="s">
        <v>385</v>
      </c>
      <c r="C5" s="18" t="s">
        <v>386</v>
      </c>
      <c r="D5" s="18" t="s">
        <v>387</v>
      </c>
    </row>
    <row r="6" customFormat="false" ht="23.85" hidden="false" customHeight="false" outlineLevel="0" collapsed="false">
      <c r="A6" s="18" t="s">
        <v>388</v>
      </c>
      <c r="B6" s="18" t="s">
        <v>389</v>
      </c>
      <c r="C6" s="18" t="s">
        <v>390</v>
      </c>
      <c r="D6" s="18" t="s">
        <v>391</v>
      </c>
    </row>
    <row r="7" customFormat="false" ht="15" hidden="false" customHeight="false" outlineLevel="0" collapsed="false">
      <c r="A7" s="18" t="s">
        <v>392</v>
      </c>
      <c r="B7" s="18" t="s">
        <v>393</v>
      </c>
      <c r="C7" s="18" t="s">
        <v>394</v>
      </c>
      <c r="D7" s="18" t="s">
        <v>395</v>
      </c>
    </row>
    <row r="8" customFormat="false" ht="23.85" hidden="false" customHeight="false" outlineLevel="0" collapsed="false">
      <c r="A8" s="18" t="s">
        <v>396</v>
      </c>
      <c r="B8" s="18" t="s">
        <v>397</v>
      </c>
      <c r="C8" s="18" t="s">
        <v>398</v>
      </c>
      <c r="D8" s="18" t="s">
        <v>399</v>
      </c>
    </row>
    <row r="9" customFormat="false" ht="15" hidden="false" customHeight="false" outlineLevel="0" collapsed="false">
      <c r="A9" s="18" t="s">
        <v>400</v>
      </c>
      <c r="B9" s="18" t="s">
        <v>401</v>
      </c>
      <c r="C9" s="18" t="s">
        <v>402</v>
      </c>
      <c r="D9" s="18" t="s">
        <v>403</v>
      </c>
    </row>
    <row r="10" customFormat="false" ht="15" hidden="false" customHeight="false" outlineLevel="0" collapsed="false">
      <c r="A10" s="18" t="s">
        <v>404</v>
      </c>
      <c r="B10" s="18" t="s">
        <v>386</v>
      </c>
      <c r="C10" s="18" t="s">
        <v>405</v>
      </c>
      <c r="D10" s="18" t="s">
        <v>406</v>
      </c>
    </row>
    <row r="11" customFormat="false" ht="23.85" hidden="false" customHeight="false" outlineLevel="0" collapsed="false">
      <c r="A11" s="18" t="s">
        <v>29</v>
      </c>
      <c r="B11" s="18" t="s">
        <v>63</v>
      </c>
      <c r="C11" s="18" t="s">
        <v>63</v>
      </c>
      <c r="D11" s="18" t="s">
        <v>407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42"/>
    <col collapsed="false" customWidth="true" hidden="false" outlineLevel="0" max="4" min="4" style="0" width="26"/>
  </cols>
  <sheetData>
    <row r="1" customFormat="false" ht="24" hidden="false" customHeight="true" outlineLevel="0" collapsed="false">
      <c r="A1" s="15" t="s">
        <v>408</v>
      </c>
      <c r="B1" s="15"/>
      <c r="C1" s="15"/>
      <c r="D1" s="15"/>
    </row>
    <row r="2" customFormat="false" ht="15" hidden="false" customHeight="false" outlineLevel="0" collapsed="false">
      <c r="A2" s="16" t="s">
        <v>34</v>
      </c>
      <c r="B2" s="16"/>
      <c r="C2" s="16"/>
      <c r="D2" s="16"/>
    </row>
    <row r="3" customFormat="false" ht="30" hidden="false" customHeight="true" outlineLevel="0" collapsed="false">
      <c r="A3" s="17" t="s">
        <v>409</v>
      </c>
      <c r="B3" s="17" t="s">
        <v>410</v>
      </c>
      <c r="C3" s="17" t="s">
        <v>411</v>
      </c>
      <c r="D3" s="17" t="s">
        <v>412</v>
      </c>
    </row>
    <row r="4" customFormat="false" ht="15" hidden="false" customHeight="false" outlineLevel="0" collapsed="false">
      <c r="A4" s="18" t="s">
        <v>413</v>
      </c>
      <c r="B4" s="18" t="s">
        <v>414</v>
      </c>
      <c r="C4" s="18" t="s">
        <v>415</v>
      </c>
      <c r="D4" s="18" t="s">
        <v>416</v>
      </c>
    </row>
    <row r="5" customFormat="false" ht="23.85" hidden="false" customHeight="false" outlineLevel="0" collapsed="false">
      <c r="A5" s="18" t="s">
        <v>417</v>
      </c>
      <c r="B5" s="18" t="s">
        <v>418</v>
      </c>
      <c r="C5" s="18" t="s">
        <v>419</v>
      </c>
      <c r="D5" s="18" t="s">
        <v>420</v>
      </c>
    </row>
    <row r="6" customFormat="false" ht="15" hidden="false" customHeight="false" outlineLevel="0" collapsed="false">
      <c r="A6" s="18" t="s">
        <v>421</v>
      </c>
      <c r="B6" s="18" t="s">
        <v>422</v>
      </c>
      <c r="C6" s="18" t="s">
        <v>423</v>
      </c>
      <c r="D6" s="18" t="s">
        <v>424</v>
      </c>
    </row>
    <row r="7" customFormat="false" ht="23.85" hidden="false" customHeight="false" outlineLevel="0" collapsed="false">
      <c r="A7" s="18" t="s">
        <v>425</v>
      </c>
      <c r="B7" s="18" t="s">
        <v>426</v>
      </c>
      <c r="C7" s="18" t="s">
        <v>427</v>
      </c>
      <c r="D7" s="18" t="s">
        <v>428</v>
      </c>
    </row>
    <row r="8" customFormat="false" ht="23.85" hidden="false" customHeight="false" outlineLevel="0" collapsed="false">
      <c r="A8" s="18" t="s">
        <v>429</v>
      </c>
      <c r="B8" s="18" t="s">
        <v>430</v>
      </c>
      <c r="C8" s="18" t="s">
        <v>431</v>
      </c>
      <c r="D8" s="18" t="s">
        <v>432</v>
      </c>
    </row>
    <row r="9" customFormat="false" ht="15" hidden="false" customHeight="false" outlineLevel="0" collapsed="false">
      <c r="A9" s="18" t="s">
        <v>433</v>
      </c>
      <c r="B9" s="18" t="s">
        <v>434</v>
      </c>
      <c r="C9" s="18" t="s">
        <v>435</v>
      </c>
      <c r="D9" s="18" t="s">
        <v>436</v>
      </c>
    </row>
    <row r="10" customFormat="false" ht="15" hidden="false" customHeight="false" outlineLevel="0" collapsed="false">
      <c r="A10" s="18" t="s">
        <v>437</v>
      </c>
      <c r="B10" s="18" t="s">
        <v>438</v>
      </c>
      <c r="C10" s="18" t="s">
        <v>439</v>
      </c>
      <c r="D10" s="18" t="s">
        <v>440</v>
      </c>
    </row>
    <row r="11" customFormat="false" ht="15" hidden="false" customHeight="false" outlineLevel="0" collapsed="false">
      <c r="A11" s="18" t="s">
        <v>441</v>
      </c>
      <c r="B11" s="18" t="s">
        <v>442</v>
      </c>
      <c r="C11" s="18" t="s">
        <v>443</v>
      </c>
      <c r="D11" s="18" t="s">
        <v>444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2026-09-19T19:14:39Z</dcterms:created>
  <dc:creator>openpyxl</dc:creator>
  <dc:description/>
  <dc:language>en-US</dc:language>
  <cp:lastModifiedBy/>
  <dcterms:modified xsi:type="dcterms:W3CDTF">2026-09-19T19:14:39Z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