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Legend" sheetId="3" state="visible" r:id="rId5"/>
    <sheet name="00_Traceability" sheetId="4" state="visible" r:id="rId6"/>
    <sheet name="01_HRPO" sheetId="5" state="visible" r:id="rId7"/>
    <sheet name="02_Slitting" sheetId="6" state="visible" r:id="rId8"/>
    <sheet name="03_Accumulator" sheetId="7" state="visible" r:id="rId9"/>
    <sheet name="04_Mill_Forming" sheetId="8" state="visible" r:id="rId10"/>
    <sheet name="05_HF_Welding" sheetId="9" state="visible" r:id="rId11"/>
    <sheet name="06_Sizing" sheetId="10" state="visible" r:id="rId12"/>
    <sheet name="07_Turk_Head" sheetId="11" state="visible" r:id="rId13"/>
    <sheet name="08_CutOff_COC" sheetId="12" state="visible" r:id="rId14"/>
    <sheet name="09_Quality_NDT" sheetId="13" state="visible" r:id="rId15"/>
    <sheet name="10_End_Facing" sheetId="14" state="visible" r:id="rId16"/>
    <sheet name="11_Furnace_RHF" sheetId="15" state="visible" r:id="rId17"/>
    <sheet name="12_STP" sheetId="16" state="visible" r:id="rId18"/>
    <sheet name="13_Drawing_Swaging" sheetId="17" state="visible" r:id="rId19"/>
    <sheet name="14_Finishing" sheetId="18" state="visible" r:id="rId20"/>
    <sheet name="99_Derived_KPIs" sheetId="19" state="visible" r:id="rId21"/>
    <sheet name="PLC_Architecture" sheetId="20" state="visible" r:id="rId22"/>
    <sheet name="Tag_Dictionary" sheetId="21" state="visible" r:id="rId23"/>
    <sheet name="M1_Process_Data_Coverage" sheetId="22" state="visible" r:id="rId24"/>
    <sheet name="PLC_Data_Gap_Analysis" sheetId="23" state="visible" r:id="rId25"/>
    <sheet name="ERP_M1_PLC_Integration" sheetId="24" state="visible" r:id="rId2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<sst xmlns="http://schemas.openxmlformats.org/spreadsheetml/2006/main" count="11053" uniqueCount="1838">
  <si>
    <t xml:space="preserve">ZEDRAL  ×  GOODLUCK INDIA LIMITED</t>
  </si>
  <si>
    <t xml:space="preserve">M1 · PLC / SCADA Data Requirement &amp; Tag Mapping</t>
  </si>
  <si>
    <t xml:space="preserve">A-59 ERW / CDW Tube-Mill Line · Unit 2, Sikandrabad (U.P.)</t>
  </si>
  <si>
    <t xml:space="preserve">Single source of truth: Process → Machine → PLC → Tag → Data → Source → Availability → M1 Requirement → Collection → Frequency → Use case</t>
  </si>
  <si>
    <t xml:space="preserve">Document</t>
  </si>
  <si>
    <t xml:space="preserve">M1 PLC / SCADA Data Requirement &amp; Tag Mapping Workbook</t>
  </si>
  <si>
    <t xml:space="preserve">Client / Site</t>
  </si>
  <si>
    <t xml:space="preserve">Goodluck India Limited · Unit 2, Sikandrabad (U.P.) · Line A-59 (ERW/CDW tube mill)</t>
  </si>
  <si>
    <t xml:space="preserve">Prepared by</t>
  </si>
  <si>
    <t xml:space="preserve">Zedral Private Limited — Manufacturing Intelligence (Module M1, Digital Data Collection)</t>
  </si>
  <si>
    <t xml:space="preserve">Version / Date</t>
  </si>
  <si>
    <t xml:space="preserve">v1.0 · 20 September 2026</t>
  </si>
  <si>
    <t xml:space="preserve">Evidence basis</t>
  </si>
  <si>
    <t xml:space="preserve">On-site controls &amp; data survey 02 &amp; 04 Sep 2026; live welder SCADA exports 05-06 Sep 2026; A-59 PLC Connectivity &amp; Software Matrix (17 controllers); 189-field Master Data Mapping; per-process M1 mapping workbooks; GLI QMS route &amp; formats</t>
  </si>
  <si>
    <t xml:space="preserve">Machine access</t>
  </si>
  <si>
    <t xml:space="preserve">Read-only. No new automation hardware required to begin.</t>
  </si>
  <si>
    <t xml:space="preserve">Status</t>
  </si>
  <si>
    <t xml:space="preserve">Field-derived working document. Every PLC register/tag address, model or value not present in the source is marked 'To Confirm'; none are invented.</t>
  </si>
  <si>
    <t xml:space="preserve">Audience</t>
  </si>
  <si>
    <t xml:space="preserve">Plant Automation · PLC/SCADA · Electrical · Maintenance · ERP · Zedral Product/Engineering</t>
  </si>
  <si>
    <t xml:space="preserve">Confidentiality</t>
  </si>
  <si>
    <t xml:space="preserve">Commercial in confidence — Zedral × Goodluck.</t>
  </si>
  <si>
    <t xml:space="preserve">Read the Summary tab next; then each numbered process tab (00–14), then PLC_Architecture, Tag_Dictionary, Coverage, Gap_Analysis and ERP_M1_PLC_Integration.</t>
  </si>
  <si>
    <t xml:space="preserve">SUMMARY — A-59 M1 PLC / SCADA TAG MAPPING</t>
  </si>
  <si>
    <t xml:space="preserve">These numbers add up automatically from the Tag Dictionary tab (one line per piece of data, across all 14 process stages).</t>
  </si>
  <si>
    <t xml:space="preserve">WHAT WE ARE COVERING</t>
  </si>
  <si>
    <t xml:space="preserve">Process stages covered</t>
  </si>
  <si>
    <t xml:space="preserve">Machines / equipment covered</t>
  </si>
  <si>
    <t xml:space="preserve">PLCs / controllers found</t>
  </si>
  <si>
    <t xml:space="preserve">— old serial ones (need a converter box)</t>
  </si>
  <si>
    <t xml:space="preserve">6 (Twido x3 + S7-200CN x3)</t>
  </si>
  <si>
    <t xml:space="preserve">SCADA / screen systems found</t>
  </si>
  <si>
    <t xml:space="preserve">Factory networks (kept separate)</t>
  </si>
  <si>
    <t xml:space="preserve">Data already flowing today</t>
  </si>
  <si>
    <t xml:space="preserve">The welder (Weld-Manager export)</t>
  </si>
  <si>
    <t xml:space="preserve">DATA COUNTS</t>
  </si>
  <si>
    <t xml:space="preserve">Total pieces of data mapped</t>
  </si>
  <si>
    <t xml:space="preserve">Needed by M1</t>
  </si>
  <si>
    <t xml:space="preserve">Nice-to-have for M1</t>
  </si>
  <si>
    <t xml:space="preserve">Ready to read now</t>
  </si>
  <si>
    <t xml:space="preserve">Reachable, need the tag list first</t>
  </si>
  <si>
    <t xml:space="preserve">Operator types it on the tablet</t>
  </si>
  <si>
    <t xml:space="preserve">M1 calculates it</t>
  </si>
  <si>
    <t xml:space="preserve">Missing or to check on site</t>
  </si>
  <si>
    <t xml:space="preserve">Critical (must not lose)</t>
  </si>
  <si>
    <t xml:space="preserve">Top priority (P0)</t>
  </si>
  <si>
    <t xml:space="preserve">Open gaps to close</t>
  </si>
  <si>
    <t xml:space="preserve">THE SHORT VERSION</t>
  </si>
  <si>
    <t xml:space="preserve">•  Only the welder sends live data today - weld power, speed, tube size, energy and a run/stop message. It is our best source to start with.</t>
  </si>
  <si>
    <t xml:space="preserve">•  The furnaces (RHF-03/04/05) and the STP line are the easiest to connect next: their screens/SCADA are already on the network, and the furnace history already logs the 6 zone temperatures.</t>
  </si>
  <si>
    <t xml:space="preserve">•  Most other machine data is reachable, but we still need each machine's exact tag list from site before we can read it (Gap G-01).</t>
  </si>
  <si>
    <t xml:space="preserve">•  Two things block a lot of this: a safe read-only path between the two factory networks (G-02), and read-only logins to the machines (G-16).</t>
  </si>
  <si>
    <t xml:space="preserve">•  No PLC gives the reason for a stop, or the production order number. M1 works out downtime from machine state plus an operator reason (G-17/G-19); the order number comes from the ERP (G-18).</t>
  </si>
  <si>
    <t xml:space="preserve">•  We did not make up any tag, address, model or value. Where the survey did not confirm it, the cell says 'To Confirm'.</t>
  </si>
  <si>
    <t xml:space="preserve">HOW TO READ THIS WORKBOOK</t>
  </si>
  <si>
    <t xml:space="preserve">Is the data there?   (Yes = we can get it · No = we must create it)</t>
  </si>
  <si>
    <t xml:space="preserve">Value</t>
  </si>
  <si>
    <t xml:space="preserve">Meaning</t>
  </si>
  <si>
    <t xml:space="preserve">Colour</t>
  </si>
  <si>
    <t xml:space="preserve">Yes - already flowing (live)</t>
  </si>
  <si>
    <t xml:space="preserve">The machine already sends this today - we have seen it live (welder, 05-06 Sep).</t>
  </si>
  <si>
    <t xml:space="preserve">Yes - in SCADA now</t>
  </si>
  <si>
    <t xml:space="preserve">The machine's SCADA screen shows it - we can read it now.</t>
  </si>
  <si>
    <t xml:space="preserve">Yes - in history log</t>
  </si>
  <si>
    <t xml:space="preserve">It is already saved in a history log we can pull from.</t>
  </si>
  <si>
    <t xml:space="preserve">Yes - from HMI touchscreen</t>
  </si>
  <si>
    <t xml:space="preserve">It comes from the operator touchscreen (HMI) - we can read it.</t>
  </si>
  <si>
    <t xml:space="preserve">Yes - in PLC, need tag name</t>
  </si>
  <si>
    <t xml:space="preserve">The PLC has it, but we must get the exact tag name on site.</t>
  </si>
  <si>
    <t xml:space="preserve">Yes - reachable, need tag list</t>
  </si>
  <si>
    <t xml:space="preserve">We can reach the machine on the network; we still need its tag list.</t>
  </si>
  <si>
    <t xml:space="preserve">Yes - from a meter</t>
  </si>
  <si>
    <t xml:space="preserve">It sits on a small meter/instrument - read it or add a link.</t>
  </si>
  <si>
    <t xml:space="preserve">Yes - from ERP system</t>
  </si>
  <si>
    <t xml:space="preserve">It comes from the ERP system (Dynamics 365) - confirm the link.</t>
  </si>
  <si>
    <t xml:space="preserve">No - operator types it in</t>
  </si>
  <si>
    <t xml:space="preserve">No machine gives it - the operator types it on the tablet.</t>
  </si>
  <si>
    <t xml:space="preserve">No - M1 works it out</t>
  </si>
  <si>
    <t xml:space="preserve">No machine gives it - M1 calculates it from other data.</t>
  </si>
  <si>
    <t xml:space="preserve">No - not available today</t>
  </si>
  <si>
    <t xml:space="preserve">Nothing provides this today - would need a new sensor or method.</t>
  </si>
  <si>
    <t xml:space="preserve">To Confirm</t>
  </si>
  <si>
    <t xml:space="preserve">We could not confirm it in the survey - check on site.</t>
  </si>
  <si>
    <t xml:space="preserve">Priority - how badly M1 needs it</t>
  </si>
  <si>
    <t xml:space="preserve">P0</t>
  </si>
  <si>
    <t xml:space="preserve">Must have - M1 core (status, count, weld power, temps, downtime, order/coil).</t>
  </si>
  <si>
    <t xml:space="preserve">P1</t>
  </si>
  <si>
    <t xml:space="preserve">Important - for analytics and day-to-day insight.</t>
  </si>
  <si>
    <t xml:space="preserve">P2</t>
  </si>
  <si>
    <t xml:space="preserve">Useful - for later features.</t>
  </si>
  <si>
    <t xml:space="preserve">P3</t>
  </si>
  <si>
    <t xml:space="preserve">Optional - not needed to start.</t>
  </si>
  <si>
    <t xml:space="preserve">How important, and how sure we are</t>
  </si>
  <si>
    <t xml:space="preserve">Critical</t>
  </si>
  <si>
    <t xml:space="preserve">If we lose this, an M1 core function breaks.</t>
  </si>
  <si>
    <t xml:space="preserve">Important</t>
  </si>
  <si>
    <t xml:space="preserve">Needed for analytics / compliance.</t>
  </si>
  <si>
    <t xml:space="preserve">Optional</t>
  </si>
  <si>
    <t xml:space="preserve">Nice to have.</t>
  </si>
  <si>
    <t xml:space="preserve">Good</t>
  </si>
  <si>
    <t xml:space="preserve">Confirmed from a machine or a controlled document.</t>
  </si>
  <si>
    <t xml:space="preserve">To Validate</t>
  </si>
  <si>
    <t xml:space="preserve">Planned - still to be checked on site.</t>
  </si>
  <si>
    <t xml:space="preserve">Unknown</t>
  </si>
  <si>
    <t xml:space="preserve">No source confirmed yet.</t>
  </si>
  <si>
    <t xml:space="preserve">How often we read it, and how long we keep it</t>
  </si>
  <si>
    <t xml:space="preserve">Real-time</t>
  </si>
  <si>
    <t xml:space="preserve">Read continuously from the machine (about once a second).</t>
  </si>
  <si>
    <t xml:space="preserve">Event</t>
  </si>
  <si>
    <t xml:space="preserve">Read when something changes (each piece, each stop).</t>
  </si>
  <si>
    <t xml:space="preserve">Periodic</t>
  </si>
  <si>
    <t xml:space="preserve">Filled per shift / lot / order / hour.</t>
  </si>
  <si>
    <t xml:space="preserve">Keep for how long</t>
  </si>
  <si>
    <t xml:space="preserve">Fast machine data: 90 days raw + hourly summary for 3 years. Events / quality / traceability: 3 years.</t>
  </si>
  <si>
    <t xml:space="preserve">Time-stamp</t>
  </si>
  <si>
    <t xml:space="preserve">Date-time in India time (UTC+05:30); the machine clock must not jump.</t>
  </si>
  <si>
    <t xml:space="preserve">Groups, what it is used for, and short forms</t>
  </si>
  <si>
    <t xml:space="preserve">Category</t>
  </si>
  <si>
    <t xml:space="preserve">Production / Machine status / Process value / Quality / Energy / Downtime / Safety / Traceability / Maintenance / Setpoint (target).</t>
  </si>
  <si>
    <t xml:space="preserve">Used for</t>
  </si>
  <si>
    <t xml:space="preserve">Production tracking · OEE · Downtime · Process · Quality · Maintenance · Energy · Traceability.</t>
  </si>
  <si>
    <t xml:space="preserve">PV / SP</t>
  </si>
  <si>
    <t xml:space="preserve">Actual value / Target value (setpoint).</t>
  </si>
  <si>
    <t xml:space="preserve">OCP / WI</t>
  </si>
  <si>
    <t xml:space="preserve">Standard settings sheet (recipe) / Work Instruction.</t>
  </si>
  <si>
    <t xml:space="preserve">COC</t>
  </si>
  <si>
    <t xml:space="preserve">Cut-off cutter (flying cut-off).</t>
  </si>
  <si>
    <t xml:space="preserve">RHF</t>
  </si>
  <si>
    <t xml:space="preserve">Roller-hearth furnace.</t>
  </si>
  <si>
    <t xml:space="preserve">STP</t>
  </si>
  <si>
    <t xml:space="preserve">Surface treatment plant.</t>
  </si>
  <si>
    <t xml:space="preserve">ERW / CDW</t>
  </si>
  <si>
    <t xml:space="preserve">Welded tube / Cold-drawn tube.</t>
  </si>
  <si>
    <t xml:space="preserve">PWA</t>
  </si>
  <si>
    <t xml:space="preserve">Operator tablet app.</t>
  </si>
  <si>
    <t xml:space="preserve">OPC UA / S7comm / CIP</t>
  </si>
  <si>
    <t xml:space="preserve">Standard ways M1 reads data from PLCs and screens.</t>
  </si>
  <si>
    <t xml:space="preserve">D365 BC</t>
  </si>
  <si>
    <t xml:space="preserve">Dynamics 365 Business Central (the ERP).</t>
  </si>
  <si>
    <t xml:space="preserve">  00 Traceability   ·   A-59 M1 PLC / SCADA Tag Mapping</t>
  </si>
  <si>
    <t xml:space="preserve">Sr.</t>
  </si>
  <si>
    <t xml:space="preserve">Process</t>
  </si>
  <si>
    <t xml:space="preserve">Sub Process</t>
  </si>
  <si>
    <t xml:space="preserve">Process Step</t>
  </si>
  <si>
    <t xml:space="preserve">Machine / Equipment</t>
  </si>
  <si>
    <t xml:space="preserve">Equipment ID</t>
  </si>
  <si>
    <t xml:space="preserve">PLC Brand</t>
  </si>
  <si>
    <t xml:space="preserve">PLC Model</t>
  </si>
  <si>
    <t xml:space="preserve">PLC Name / ID</t>
  </si>
  <si>
    <t xml:space="preserve">PLC Rack / Station</t>
  </si>
  <si>
    <t xml:space="preserve">SCADA System</t>
  </si>
  <si>
    <t xml:space="preserve">SCADA Server</t>
  </si>
  <si>
    <t xml:space="preserve">HMI Name</t>
  </si>
  <si>
    <t xml:space="preserve">Comes From</t>
  </si>
  <si>
    <t xml:space="preserve">PLC / SCADA Tag Name</t>
  </si>
  <si>
    <t xml:space="preserve">PLC Address</t>
  </si>
  <si>
    <t xml:space="preserve">Zedral Field Name</t>
  </si>
  <si>
    <t xml:space="preserve">What It Means</t>
  </si>
  <si>
    <t xml:space="preserve">Value Type</t>
  </si>
  <si>
    <t xml:space="preserve">Unit</t>
  </si>
  <si>
    <t xml:space="preserve">Example</t>
  </si>
  <si>
    <t xml:space="preserve">Min</t>
  </si>
  <si>
    <t xml:space="preserve">Max</t>
  </si>
  <si>
    <t xml:space="preserve">Possible Values</t>
  </si>
  <si>
    <t xml:space="preserve">Needed by M1?</t>
  </si>
  <si>
    <t xml:space="preserve">Why M1 Needs It</t>
  </si>
  <si>
    <t xml:space="preserve">Used For</t>
  </si>
  <si>
    <t xml:space="preserve">How Collected</t>
  </si>
  <si>
    <t xml:space="preserve">How Often</t>
  </si>
  <si>
    <t xml:space="preserve">Keep History?</t>
  </si>
  <si>
    <t xml:space="preserve">Keep For How Long</t>
  </si>
  <si>
    <t xml:space="preserve">Time-Stamped?</t>
  </si>
  <si>
    <t xml:space="preserve">Quality Check?</t>
  </si>
  <si>
    <t xml:space="preserve">Alarm Needed?</t>
  </si>
  <si>
    <t xml:space="preserve">Alarm Code</t>
  </si>
  <si>
    <t xml:space="preserve">Fault Code</t>
  </si>
  <si>
    <t xml:space="preserve">Downtime</t>
  </si>
  <si>
    <t xml:space="preserve">OEE</t>
  </si>
  <si>
    <t xml:space="preserve">Production</t>
  </si>
  <si>
    <t xml:space="preserve">Quality</t>
  </si>
  <si>
    <t xml:space="preserve">Maintenance</t>
  </si>
  <si>
    <t xml:space="preserve">Energy</t>
  </si>
  <si>
    <t xml:space="preserve">Source</t>
  </si>
  <si>
    <t xml:space="preserve">How M1 Reads It</t>
  </si>
  <si>
    <t xml:space="preserve">Read Method / Tool</t>
  </si>
  <si>
    <t xml:space="preserve">Is the Data There?</t>
  </si>
  <si>
    <t xml:space="preserve">How Sure Are We?</t>
  </si>
  <si>
    <t xml:space="preserve">Criticality</t>
  </si>
  <si>
    <t xml:space="preserve">Priority</t>
  </si>
  <si>
    <t xml:space="preserve">Remarks</t>
  </si>
  <si>
    <t xml:space="preserve">00 Traceability</t>
  </si>
  <si>
    <t xml:space="preserve">Order key</t>
  </si>
  <si>
    <t xml:space="preserve">Cross-stage genealogy (label / ERP / PLC context)</t>
  </si>
  <si>
    <t xml:space="preserve">A59-line</t>
  </si>
  <si>
    <t xml:space="preserve">—</t>
  </si>
  <si>
    <t xml:space="preserve">Dynamics 365 Business Central</t>
  </si>
  <si>
    <t xml:space="preserve">ERP</t>
  </si>
  <si>
    <t xml:space="preserve">W/O / W.O.</t>
  </si>
  <si>
    <t xml:space="preserve">work_order_no</t>
  </si>
  <si>
    <t xml:space="preserve">Primary production / order key that joins every stage</t>
  </si>
  <si>
    <t xml:space="preserve">Traceability</t>
  </si>
  <si>
    <t xml:space="preserve">STRING</t>
  </si>
  <si>
    <t xml:space="preserve">26081750</t>
  </si>
  <si>
    <t xml:space="preserve">Yes</t>
  </si>
  <si>
    <t xml:space="preserve">Primary join key across all stages and ERP</t>
  </si>
  <si>
    <t xml:space="preserve">Per order</t>
  </si>
  <si>
    <t xml:space="preserve">Raw 90 d; hourly rollup 3 y</t>
  </si>
  <si>
    <t xml:space="preserve">No</t>
  </si>
  <si>
    <t xml:space="preserve">✓</t>
  </si>
  <si>
    <t xml:space="preserve">OData / REST</t>
  </si>
  <si>
    <t xml:space="preserve">D365 BC read API (confirm endpoints)</t>
  </si>
  <si>
    <t xml:space="preserve">260xxxxxx pattern. Spine key: order + coil.</t>
  </si>
  <si>
    <t xml:space="preserve">Material key</t>
  </si>
  <si>
    <t xml:space="preserve">— (no line controller)</t>
  </si>
  <si>
    <t xml:space="preserve">Manual (LOG) / PWA</t>
  </si>
  <si>
    <t xml:space="preserve">Coil No</t>
  </si>
  <si>
    <t xml:space="preserve">coil_no</t>
  </si>
  <si>
    <t xml:space="preserve">RM coil genealogy key (AA-BB-CC-D-EEEE)</t>
  </si>
  <si>
    <t xml:space="preserve">01-2608B-xxxx</t>
  </si>
  <si>
    <t xml:space="preserve">Raw-material traceability to mother coil</t>
  </si>
  <si>
    <t xml:space="preserve">Per coil</t>
  </si>
  <si>
    <t xml:space="preserve">Route card / QR label + PWA</t>
  </si>
  <si>
    <t xml:space="preserve">Slit ID appends -F-G-H (GLI-WI-QA-13).</t>
  </si>
  <si>
    <t xml:space="preserve">Equipment key</t>
  </si>
  <si>
    <t xml:space="preserve">Machine ID</t>
  </si>
  <si>
    <t xml:space="preserve">machine_id</t>
  </si>
  <si>
    <t xml:space="preserve">Equipment / line identifier</t>
  </si>
  <si>
    <t xml:space="preserve">TM4-A59 / RHF3-A59</t>
  </si>
  <si>
    <t xml:space="preserve">Equipment context on every record</t>
  </si>
  <si>
    <t xml:space="preserve">Per record</t>
  </si>
  <si>
    <t xml:space="preserve">Order context</t>
  </si>
  <si>
    <t xml:space="preserve">Customer</t>
  </si>
  <si>
    <t xml:space="preserve">customer_code</t>
  </si>
  <si>
    <t xml:space="preserve">Order customer</t>
  </si>
  <si>
    <t xml:space="preserve">Order context and reporting</t>
  </si>
  <si>
    <t xml:space="preserve">Marmon/Keystone; Salem Steel; Acretee (observed).</t>
  </si>
  <si>
    <t xml:space="preserve">Shift</t>
  </si>
  <si>
    <t xml:space="preserve">shift_ref</t>
  </si>
  <si>
    <t xml:space="preserve">Production shift</t>
  </si>
  <si>
    <t xml:space="preserve">A / B / C</t>
  </si>
  <si>
    <t xml:space="preserve">Shift attribution for OEE and DPR</t>
  </si>
  <si>
    <t xml:space="preserve">OEE / Production Monitoring</t>
  </si>
  <si>
    <t xml:space="preserve">Operator</t>
  </si>
  <si>
    <t xml:space="preserve">Operator ID</t>
  </si>
  <si>
    <t xml:space="preserve">operator_id</t>
  </si>
  <si>
    <t xml:space="preserve">Operator identity</t>
  </si>
  <si>
    <t xml:space="preserve">Accountability; man 4M</t>
  </si>
  <si>
    <t xml:space="preserve">Core data</t>
  </si>
  <si>
    <t xml:space="preserve">PWA login.</t>
  </si>
  <si>
    <t xml:space="preserve">Slit key</t>
  </si>
  <si>
    <t xml:space="preserve">Slit No</t>
  </si>
  <si>
    <t xml:space="preserve">slit_no</t>
  </si>
  <si>
    <t xml:space="preserve">Slit number for slitting→mill genealogy</t>
  </si>
  <si>
    <t xml:space="preserve">Slitting-to-mill genealogy join</t>
  </si>
  <si>
    <t xml:space="preserve">Per slit</t>
  </si>
  <si>
    <t xml:space="preserve">Key join field (Daily Slit Inspection).</t>
  </si>
  <si>
    <t xml:space="preserve">Bundle key</t>
  </si>
  <si>
    <t xml:space="preserve">Bundle No</t>
  </si>
  <si>
    <t xml:space="preserve">bundle_no</t>
  </si>
  <si>
    <t xml:space="preserve">Finished bundle number (QR label)</t>
  </si>
  <si>
    <t xml:space="preserve">26081793-1</t>
  </si>
  <si>
    <t xml:space="preserve">Downstream genealogy and dispatch</t>
  </si>
  <si>
    <t xml:space="preserve">Per bundle</t>
  </si>
  <si>
    <t xml:space="preserve">Strongest cross-stage join (route card + QR).</t>
  </si>
  <si>
    <t xml:space="preserve">  01 HRPO   ·   A-59 M1 PLC / SCADA Tag Mapping</t>
  </si>
  <si>
    <t xml:space="preserve">01 HRPO</t>
  </si>
  <si>
    <t xml:space="preserve">Line</t>
  </si>
  <si>
    <t xml:space="preserve">HR coil pickling line (uncoiler→acid→rinse→dryer→RPO→recoiler)</t>
  </si>
  <si>
    <t xml:space="preserve">A59-HRPO</t>
  </si>
  <si>
    <t xml:space="preserve">ABB</t>
  </si>
  <si>
    <t xml:space="preserve">AC500 PM573</t>
  </si>
  <si>
    <t xml:space="preserve">A59-HRPO-PLC</t>
  </si>
  <si>
    <t xml:space="preserve">Pro-face PFXET6400WAD</t>
  </si>
  <si>
    <t xml:space="preserve">PLC / HMI</t>
  </si>
  <si>
    <t xml:space="preserve">line speed</t>
  </si>
  <si>
    <t xml:space="preserve">TC</t>
  </si>
  <si>
    <t xml:space="preserve">hrpo_line_speed</t>
  </si>
  <si>
    <t xml:space="preserve">Speed of the pickling / entry line</t>
  </si>
  <si>
    <t xml:space="preserve">Machine / Process</t>
  </si>
  <si>
    <t xml:space="preserve">REAL</t>
  </si>
  <si>
    <t xml:space="preserve">mpm</t>
  </si>
  <si>
    <t xml:space="preserve">15-30</t>
  </si>
  <si>
    <t xml:space="preserve">0</t>
  </si>
  <si>
    <t xml:space="preserve">30</t>
  </si>
  <si>
    <t xml:space="preserve">Throughput and downtime at incoming; residence in acid</t>
  </si>
  <si>
    <t xml:space="preserve">Production + OEE</t>
  </si>
  <si>
    <t xml:space="preserve">1 s</t>
  </si>
  <si>
    <t xml:space="preserve">OPC UA / Modbus TCP</t>
  </si>
  <si>
    <t xml:space="preserve">OPC UA / Modbus driver</t>
  </si>
  <si>
    <t xml:space="preserve">Set by thickness band (15-30 MPM). ABB PM573 tag map TBC.</t>
  </si>
  <si>
    <t xml:space="preserve">Chem tanks</t>
  </si>
  <si>
    <t xml:space="preserve">Acid</t>
  </si>
  <si>
    <t xml:space="preserve">acid tank-1 temp</t>
  </si>
  <si>
    <t xml:space="preserve">hrpo_acidtank1_temp</t>
  </si>
  <si>
    <t xml:space="preserve">Acid bath 1 temperature</t>
  </si>
  <si>
    <t xml:space="preserve">Process Parameter</t>
  </si>
  <si>
    <t xml:space="preserve">°C</t>
  </si>
  <si>
    <t xml:space="preserve">ambient</t>
  </si>
  <si>
    <t xml:space="preserve">90</t>
  </si>
  <si>
    <t xml:space="preserve">Pickling process control</t>
  </si>
  <si>
    <t xml:space="preserve">Process monitoring</t>
  </si>
  <si>
    <t xml:space="preserve">SELEC temp controller; via PLC or Modbus retrofit.</t>
  </si>
  <si>
    <t xml:space="preserve">acid tank-2 temp</t>
  </si>
  <si>
    <t xml:space="preserve">hrpo_acidtank2_temp</t>
  </si>
  <si>
    <t xml:space="preserve">Acid bath 2 temperature</t>
  </si>
  <si>
    <t xml:space="preserve">Tank 2 acid 12-20%; Fe max 5%.</t>
  </si>
  <si>
    <t xml:space="preserve">Rinse</t>
  </si>
  <si>
    <t xml:space="preserve">rinse temp</t>
  </si>
  <si>
    <t xml:space="preserve">hrpo_rinse_temp</t>
  </si>
  <si>
    <t xml:space="preserve">Rinse tank temperature (hot water)</t>
  </si>
  <si>
    <t xml:space="preserve">70</t>
  </si>
  <si>
    <t xml:space="preserve">Surface cleanliness</t>
  </si>
  <si>
    <t xml:space="preserve">4 rinse tanks; pH ≥5; chloride ≤30 ppm.</t>
  </si>
  <si>
    <t xml:space="preserve">Dryer</t>
  </si>
  <si>
    <t xml:space="preserve">dryer temp</t>
  </si>
  <si>
    <t xml:space="preserve">hrpo_dryer_temp</t>
  </si>
  <si>
    <t xml:space="preserve">Hot-air dryer temperature</t>
  </si>
  <si>
    <t xml:space="preserve">Drying control</t>
  </si>
  <si>
    <t xml:space="preserve">Strip</t>
  </si>
  <si>
    <t xml:space="preserve">strip thickness</t>
  </si>
  <si>
    <t xml:space="preserve">hrpo_strip_thickness</t>
  </si>
  <si>
    <t xml:space="preserve">Incoming strip thickness (gauge)</t>
  </si>
  <si>
    <t xml:space="preserve">mm</t>
  </si>
  <si>
    <t xml:space="preserve">Incoming dimensional check</t>
  </si>
  <si>
    <t xml:space="preserve">Quality / Process Monitoring</t>
  </si>
  <si>
    <t xml:space="preserve">Material limit ≤10 mm thk; width ≤1250 mm; coil ≤30 MT.</t>
  </si>
  <si>
    <t xml:space="preserve">Aux</t>
  </si>
  <si>
    <t xml:space="preserve">acid pump state</t>
  </si>
  <si>
    <t xml:space="preserve">hrpo_acidpump_state</t>
  </si>
  <si>
    <t xml:space="preserve">Acid circulation pump run state</t>
  </si>
  <si>
    <t xml:space="preserve">Machine Status</t>
  </si>
  <si>
    <t xml:space="preserve">BOOL</t>
  </si>
  <si>
    <t xml:space="preserve">0/1</t>
  </si>
  <si>
    <t xml:space="preserve">Run / Stop</t>
  </si>
  <si>
    <t xml:space="preserve">Utility state / interlock</t>
  </si>
  <si>
    <t xml:space="preserve">On change</t>
  </si>
  <si>
    <t xml:space="preserve">entry coil-car</t>
  </si>
  <si>
    <t xml:space="preserve">hrpo_entrycoilcar_pos</t>
  </si>
  <si>
    <t xml:space="preserve">Entry coil-car position</t>
  </si>
  <si>
    <t xml:space="preserve">INT</t>
  </si>
  <si>
    <t xml:space="preserve">Material-handling state</t>
  </si>
  <si>
    <t xml:space="preserve">Planning</t>
  </si>
  <si>
    <t xml:space="preserve">Plan</t>
  </si>
  <si>
    <t xml:space="preserve">target OD</t>
  </si>
  <si>
    <t xml:space="preserve">hrpo_target_od</t>
  </si>
  <si>
    <t xml:space="preserve">Planned tube-mill input target OD</t>
  </si>
  <si>
    <t xml:space="preserve">50.8</t>
  </si>
  <si>
    <t xml:space="preserve">Target dimension for mill setup</t>
  </si>
  <si>
    <t xml:space="preserve">Production tracking</t>
  </si>
  <si>
    <t xml:space="preserve">From Rolling Instruction / ERP. Client confirm.</t>
  </si>
  <si>
    <t xml:space="preserve">grade</t>
  </si>
  <si>
    <t xml:space="preserve">hrpo_grade</t>
  </si>
  <si>
    <t xml:space="preserve">Material grade for the order</t>
  </si>
  <si>
    <t xml:space="preserve">1010/1020/1026/ST-52-3</t>
  </si>
  <si>
    <t xml:space="preserve">Recipe &amp; quality context</t>
  </si>
  <si>
    <t xml:space="preserve">Grade colour-code board (R16).</t>
  </si>
  <si>
    <t xml:space="preserve">  02 Slitting   ·   A-59 M1 PLC / SCADA Tag Mapping</t>
  </si>
  <si>
    <t xml:space="preserve">02 Slitting</t>
  </si>
  <si>
    <t xml:space="preserve">Slitter / recoiler line</t>
  </si>
  <si>
    <t xml:space="preserve">A59-SLT</t>
  </si>
  <si>
    <t xml:space="preserve">AC500 PM583</t>
  </si>
  <si>
    <t xml:space="preserve">A59-SLT-PLC</t>
  </si>
  <si>
    <t xml:space="preserve">ABB CP607</t>
  </si>
  <si>
    <t xml:space="preserve">PLC</t>
  </si>
  <si>
    <t xml:space="preserve">line MPM</t>
  </si>
  <si>
    <t xml:space="preserve">slit_line_speed</t>
  </si>
  <si>
    <t xml:space="preserve">Slitting line speed</t>
  </si>
  <si>
    <t xml:space="preserve">Throughput / downtime</t>
  </si>
  <si>
    <t xml:space="preserve">ABB PM583. Connected in survey.</t>
  </si>
  <si>
    <t xml:space="preserve">Recoiler</t>
  </si>
  <si>
    <t xml:space="preserve">recoiler dia</t>
  </si>
  <si>
    <t xml:space="preserve">slit_recoiler_dia</t>
  </si>
  <si>
    <t xml:space="preserve">Recoiler coil diameter</t>
  </si>
  <si>
    <t xml:space="preserve">Coil build monitoring</t>
  </si>
  <si>
    <t xml:space="preserve">Uncoiler</t>
  </si>
  <si>
    <t xml:space="preserve">uncoiler tension</t>
  </si>
  <si>
    <t xml:space="preserve">slit_uncoiler_tension</t>
  </si>
  <si>
    <t xml:space="preserve">Uncoiler strip tension</t>
  </si>
  <si>
    <t xml:space="preserve">% / kN</t>
  </si>
  <si>
    <t xml:space="preserve">Tension control (strip quality)</t>
  </si>
  <si>
    <t xml:space="preserve">Coil</t>
  </si>
  <si>
    <t xml:space="preserve">coil weight</t>
  </si>
  <si>
    <t xml:space="preserve">slit_coil_weight</t>
  </si>
  <si>
    <t xml:space="preserve">Coil weight (scale)</t>
  </si>
  <si>
    <t xml:space="preserve">t</t>
  </si>
  <si>
    <t xml:space="preserve">2.97-3.01</t>
  </si>
  <si>
    <t xml:space="preserve">15</t>
  </si>
  <si>
    <t xml:space="preserve">Material accounting / yield</t>
  </si>
  <si>
    <t xml:space="preserve">PLC / weigh-scale.</t>
  </si>
  <si>
    <t xml:space="preserve">Drives</t>
  </si>
  <si>
    <t xml:space="preserve">slitter current</t>
  </si>
  <si>
    <t xml:space="preserve">slit_slitter_current</t>
  </si>
  <si>
    <t xml:space="preserve">Slitter drive current</t>
  </si>
  <si>
    <t xml:space="preserve">Machine / Maintenance</t>
  </si>
  <si>
    <t xml:space="preserve">A</t>
  </si>
  <si>
    <t xml:space="preserve">Load / health monitoring</t>
  </si>
  <si>
    <t xml:space="preserve">leveller current</t>
  </si>
  <si>
    <t xml:space="preserve">slit_leveller_current</t>
  </si>
  <si>
    <t xml:space="preserve">Leveller drive current</t>
  </si>
  <si>
    <t xml:space="preserve">Load monitoring</t>
  </si>
  <si>
    <t xml:space="preserve">uncoiler current</t>
  </si>
  <si>
    <t xml:space="preserve">slit_uncoiler_current</t>
  </si>
  <si>
    <t xml:space="preserve">Uncoiler drive current</t>
  </si>
  <si>
    <t xml:space="preserve">State</t>
  </si>
  <si>
    <t xml:space="preserve">interlocks</t>
  </si>
  <si>
    <t xml:space="preserve">slit_interlock_status</t>
  </si>
  <si>
    <t xml:space="preserve">Slitting interlock / permissive state</t>
  </si>
  <si>
    <t xml:space="preserve">Safety / Machine Status</t>
  </si>
  <si>
    <t xml:space="preserve">OK / Tripped</t>
  </si>
  <si>
    <t xml:space="preserve">Safety / permissive state</t>
  </si>
  <si>
    <t xml:space="preserve">Downtime / Maintenance</t>
  </si>
  <si>
    <t xml:space="preserve">MCC status</t>
  </si>
  <si>
    <t xml:space="preserve">slit_mcc_status</t>
  </si>
  <si>
    <t xml:space="preserve">Motor control centre status</t>
  </si>
  <si>
    <t xml:space="preserve">On / Off</t>
  </si>
  <si>
    <t xml:space="preserve">Power / availability state</t>
  </si>
  <si>
    <t xml:space="preserve">Inspection</t>
  </si>
  <si>
    <t xml:space="preserve">Slit number for the coil</t>
  </si>
  <si>
    <t xml:space="preserve">Slitting-to-mill genealogy</t>
  </si>
  <si>
    <t xml:space="preserve">Production + Traceability</t>
  </si>
  <si>
    <t xml:space="preserve">GLI-FT-QA-03 / SLT-FT-01. Key join.</t>
  </si>
  <si>
    <t xml:space="preserve">slit width (start/mid/end)</t>
  </si>
  <si>
    <t xml:space="preserve">slit_width_sme</t>
  </si>
  <si>
    <t xml:space="preserve">Measured slit width, 3 readings</t>
  </si>
  <si>
    <t xml:space="preserve">148.10</t>
  </si>
  <si>
    <t xml:space="preserve">tol ±0.20 mm</t>
  </si>
  <si>
    <t xml:space="preserve">Dimensional QA at slitting</t>
  </si>
  <si>
    <t xml:space="preserve">Handwritten today → PWA.</t>
  </si>
  <si>
    <t xml:space="preserve">thickness (start/mid/end)</t>
  </si>
  <si>
    <t xml:space="preserve">slit_thk_sme</t>
  </si>
  <si>
    <t xml:space="preserve">Measured strip thickness, 3 readings</t>
  </si>
  <si>
    <t xml:space="preserve">7.00</t>
  </si>
  <si>
    <t xml:space="preserve">Dimensional QA</t>
  </si>
  <si>
    <t xml:space="preserve">Banded tol per GLI-WI-QA-02.</t>
  </si>
  <si>
    <t xml:space="preserve">rejection + reason</t>
  </si>
  <si>
    <t xml:space="preserve">slit_reject_reason</t>
  </si>
  <si>
    <t xml:space="preserve">Slit rejection flag/qty + reason</t>
  </si>
  <si>
    <t xml:space="preserve">Quality / Downtime</t>
  </si>
  <si>
    <t xml:space="preserve">Defect analysis / yield</t>
  </si>
  <si>
    <t xml:space="preserve">  03 Accumulator   ·   A-59 M1 PLC / SCADA Tag Mapping</t>
  </si>
  <si>
    <t xml:space="preserve">03 Accumulator</t>
  </si>
  <si>
    <t xml:space="preserve">Buffer</t>
  </si>
  <si>
    <t xml:space="preserve">Strip accumulator / loop tower</t>
  </si>
  <si>
    <t xml:space="preserve">A59-ACC</t>
  </si>
  <si>
    <t xml:space="preserve">A59-ACC-PLC</t>
  </si>
  <si>
    <t xml:space="preserve">accumulator level</t>
  </si>
  <si>
    <t xml:space="preserve">accum_level</t>
  </si>
  <si>
    <t xml:space="preserve">Accumulator fill level / loop length</t>
  </si>
  <si>
    <t xml:space="preserve">% / m</t>
  </si>
  <si>
    <t xml:space="preserve">100</t>
  </si>
  <si>
    <t xml:space="preserve">Buffer state; mill continuity</t>
  </si>
  <si>
    <t xml:space="preserve">Process + OEE</t>
  </si>
  <si>
    <t xml:space="preserve">≈40 t / 5-7 slitters. Controller &amp; tags not confirmed exposed (Gap G-07).</t>
  </si>
  <si>
    <t xml:space="preserve">entry speed</t>
  </si>
  <si>
    <t xml:space="preserve">accum_entry_speed</t>
  </si>
  <si>
    <t xml:space="preserve">Strip entry speed</t>
  </si>
  <si>
    <t xml:space="preserve">Decoupling control</t>
  </si>
  <si>
    <t xml:space="preserve">exit speed</t>
  </si>
  <si>
    <t xml:space="preserve">accum_exit_speed</t>
  </si>
  <si>
    <t xml:space="preserve">Strip exit speed (to mill)</t>
  </si>
  <si>
    <t xml:space="preserve">strip presence</t>
  </si>
  <si>
    <t xml:space="preserve">accum_strip_presence</t>
  </si>
  <si>
    <t xml:space="preserve">Strip present in accumulator</t>
  </si>
  <si>
    <t xml:space="preserve">Present / Empty</t>
  </si>
  <si>
    <t xml:space="preserve">Continuity / interlock</t>
  </si>
  <si>
    <t xml:space="preserve">drive status</t>
  </si>
  <si>
    <t xml:space="preserve">accum_drive_status</t>
  </si>
  <si>
    <t xml:space="preserve">Accumulator drive healthy/run/fault</t>
  </si>
  <si>
    <t xml:space="preserve">Run / Fault</t>
  </si>
  <si>
    <t xml:space="preserve">Availability</t>
  </si>
  <si>
    <t xml:space="preserve">Confirm controller on site.</t>
  </si>
  <si>
    <t xml:space="preserve">  04 Mill / Forming   ·   A-59 M1 PLC / SCADA Tag Mapping</t>
  </si>
  <si>
    <t xml:space="preserve">04 Mill / Forming</t>
  </si>
  <si>
    <t xml:space="preserve">Speed</t>
  </si>
  <si>
    <t xml:space="preserve">Tube Mill TM4-A59 (forming, fin-pass, sizing stands)</t>
  </si>
  <si>
    <t xml:space="preserve">TM4-A59</t>
  </si>
  <si>
    <t xml:space="preserve">Siemens</t>
  </si>
  <si>
    <t xml:space="preserve">S7-1500 / ET200SP + SINAMICS S120/G120</t>
  </si>
  <si>
    <t xml:space="preserve">TM4-A59 mill PLC</t>
  </si>
  <si>
    <t xml:space="preserve">KTP/TP Basic + Hitech (Beijer) PWS</t>
  </si>
  <si>
    <t xml:space="preserve">PLC / SCADA</t>
  </si>
  <si>
    <t xml:space="preserve">mill speed (MPM)</t>
  </si>
  <si>
    <t xml:space="preserve">mill_speed_mpm</t>
  </si>
  <si>
    <t xml:space="preserve">Tube-mill line speed</t>
  </si>
  <si>
    <t xml:space="preserve">OCP speed window</t>
  </si>
  <si>
    <t xml:space="preserve">Throughput; recipe compliance vs OCP window</t>
  </si>
  <si>
    <t xml:space="preserve">OPC UA / S7comm (PROFINET)</t>
  </si>
  <si>
    <t xml:space="preserve">OPC UA client / Snap7</t>
  </si>
  <si>
    <t xml:space="preserve">Cross-check with welder SPEED mpm. May reside on Twido drive PLC.</t>
  </si>
  <si>
    <t xml:space="preserve">forming RPM</t>
  </si>
  <si>
    <t xml:space="preserve">mill_forming_rpm</t>
  </si>
  <si>
    <t xml:space="preserve">Forming stand speed</t>
  </si>
  <si>
    <t xml:space="preserve">rpm</t>
  </si>
  <si>
    <t xml:space="preserve">Forming control</t>
  </si>
  <si>
    <t xml:space="preserve">Forming/roll data may be on legacy Schneider Twido ×3 (serial) - Gap G-04.</t>
  </si>
  <si>
    <t xml:space="preserve">finpass RPM</t>
  </si>
  <si>
    <t xml:space="preserve">mill_finpass_rpm</t>
  </si>
  <si>
    <t xml:space="preserve">Fin-pass stand speed</t>
  </si>
  <si>
    <t xml:space="preserve">Fin-pass control</t>
  </si>
  <si>
    <t xml:space="preserve">sizing RPM</t>
  </si>
  <si>
    <t xml:space="preserve">mill_sizing_rpm</t>
  </si>
  <si>
    <t xml:space="preserve">Sizing stand speed</t>
  </si>
  <si>
    <t xml:space="preserve">Sizing control</t>
  </si>
  <si>
    <t xml:space="preserve">forming current</t>
  </si>
  <si>
    <t xml:space="preserve">mill_forming_current</t>
  </si>
  <si>
    <t xml:space="preserve">Forming drive current (SINAMICS)</t>
  </si>
  <si>
    <t xml:space="preserve">Load / health</t>
  </si>
  <si>
    <t xml:space="preserve">finpass/sizing current</t>
  </si>
  <si>
    <t xml:space="preserve">mill_stand_current</t>
  </si>
  <si>
    <t xml:space="preserve">Fin-pass &amp; sizing drive currents</t>
  </si>
  <si>
    <t xml:space="preserve">SINAMICS S120/G120 drives.</t>
  </si>
  <si>
    <t xml:space="preserve">Setpoint</t>
  </si>
  <si>
    <t xml:space="preserve">tube speed setpoint</t>
  </si>
  <si>
    <t xml:space="preserve">mill_tube_speed_sp</t>
  </si>
  <si>
    <t xml:space="preserve">Commanded tube speed (SP vs actual)</t>
  </si>
  <si>
    <t xml:space="preserve">Setpoint vs actual deviation analysis</t>
  </si>
  <si>
    <t xml:space="preserve">Pairs with mill_speed_mpm (PV).</t>
  </si>
  <si>
    <t xml:space="preserve">auto/manual</t>
  </si>
  <si>
    <t xml:space="preserve">mill_mode</t>
  </si>
  <si>
    <t xml:space="preserve">Mill operating mode</t>
  </si>
  <si>
    <t xml:space="preserve">ENUM</t>
  </si>
  <si>
    <t xml:space="preserve">Auto / Manual</t>
  </si>
  <si>
    <t xml:space="preserve">Context for actuals; OEE state</t>
  </si>
  <si>
    <t xml:space="preserve">OEE + Downtime</t>
  </si>
  <si>
    <t xml:space="preserve">drive health</t>
  </si>
  <si>
    <t xml:space="preserve">mill_drive_health</t>
  </si>
  <si>
    <t xml:space="preserve">Mill drive healthy state</t>
  </si>
  <si>
    <t xml:space="preserve">Healthy / Fault</t>
  </si>
  <si>
    <t xml:space="preserve">Availability / alarms</t>
  </si>
  <si>
    <t xml:space="preserve">Counter</t>
  </si>
  <si>
    <t xml:space="preserve">counter</t>
  </si>
  <si>
    <t xml:space="preserve">mill_product_counter</t>
  </si>
  <si>
    <t xml:space="preserve">Mill production counter</t>
  </si>
  <si>
    <t xml:space="preserve">DINT</t>
  </si>
  <si>
    <t xml:space="preserve">count</t>
  </si>
  <si>
    <t xml:space="preserve">Production count (mill side)</t>
  </si>
  <si>
    <t xml:space="preserve">COC is the primary piece count.</t>
  </si>
  <si>
    <t xml:space="preserve">Coolant</t>
  </si>
  <si>
    <t xml:space="preserve">Setup</t>
  </si>
  <si>
    <t xml:space="preserve">Schneider</t>
  </si>
  <si>
    <t xml:space="preserve">Twido TWDLCAA40DRF (×3)</t>
  </si>
  <si>
    <t xml:space="preserve">Mill drive PLC ×3</t>
  </si>
  <si>
    <t xml:space="preserve">Serial node (TBC)</t>
  </si>
  <si>
    <t xml:space="preserve">Hitech (Beijer) PWS panel</t>
  </si>
  <si>
    <t xml:space="preserve">coolant concentration</t>
  </si>
  <si>
    <t xml:space="preserve">mill_coolant_conc</t>
  </si>
  <si>
    <t xml:space="preserve">Mill / weld coolant concentration</t>
  </si>
  <si>
    <t xml:space="preserve">%</t>
  </si>
  <si>
    <t xml:space="preserve">1.5 (obs)</t>
  </si>
  <si>
    <t xml:space="preserve">OCP 2% CEW / 3% ERW</t>
  </si>
  <si>
    <t xml:space="preserve">Weld/mill cooling compliance vs OCP</t>
  </si>
  <si>
    <t xml:space="preserve">Process + Quality</t>
  </si>
  <si>
    <t xml:space="preserve">Per setup / online</t>
  </si>
  <si>
    <t xml:space="preserve">Modbus RTU (serial, via gateway)</t>
  </si>
  <si>
    <t xml:space="preserve">Modbus over serial→TCP gateway (e.g. Moxa MGate)</t>
  </si>
  <si>
    <t xml:space="preserve">Observed 1.5% vs OCP min - flag (Gap G-08). No wired sensor found → MANUAL.</t>
  </si>
  <si>
    <t xml:space="preserve">coolant pressure</t>
  </si>
  <si>
    <t xml:space="preserve">mill_coolant_pressure</t>
  </si>
  <si>
    <t xml:space="preserve">Mill coolant pressure</t>
  </si>
  <si>
    <t xml:space="preserve">kg/cm²</t>
  </si>
  <si>
    <t xml:space="preserve">4.0</t>
  </si>
  <si>
    <t xml:space="preserve">≥2.0 (WI)</t>
  </si>
  <si>
    <t xml:space="preserve">Cooling control</t>
  </si>
  <si>
    <t xml:space="preserve">Online</t>
  </si>
  <si>
    <t xml:space="preserve">Unit/meaning to confirm; likely manual.</t>
  </si>
  <si>
    <t xml:space="preserve">work coil ID</t>
  </si>
  <si>
    <t xml:space="preserve">work_coil_id</t>
  </si>
  <si>
    <t xml:space="preserve">Weld work-coil consumable identifier</t>
  </si>
  <si>
    <t xml:space="preserve">Maintenance / Traceability</t>
  </si>
  <si>
    <t xml:space="preserve">Weld tooling life link (TM-FT-08)</t>
  </si>
  <si>
    <t xml:space="preserve">Per setup</t>
  </si>
  <si>
    <t xml:space="preserve">Links to cumulative tonnage tracker.</t>
  </si>
  <si>
    <t xml:space="preserve">fin-pass/sizing roll dia (13/15/17/19/20/21)</t>
  </si>
  <si>
    <t xml:space="preserve">fin_pass_dims</t>
  </si>
  <si>
    <t xml:space="preserve">Roll-pass &amp; weld-roll diameters (spec vs observed)</t>
  </si>
  <si>
    <t xml:space="preserve">Quality / Setup</t>
  </si>
  <si>
    <t xml:space="preserve">tol -0.20/+0.70</t>
  </si>
  <si>
    <t xml:space="preserve">Forming/weld geometry traceability</t>
  </si>
  <si>
    <t xml:space="preserve">TM-05 setup sheet. Weld-roll dia handwritten inconsistent (G-08).</t>
  </si>
  <si>
    <t xml:space="preserve">Recipe</t>
  </si>
  <si>
    <t xml:space="preserve">OCP revision</t>
  </si>
  <si>
    <t xml:space="preserve">mill_ocp_revision</t>
  </si>
  <si>
    <t xml:space="preserve">OCP recipe revision in use</t>
  </si>
  <si>
    <t xml:space="preserve">Setup / Traceability</t>
  </si>
  <si>
    <t xml:space="preserve">Recipe governance / compliance</t>
  </si>
  <si>
    <t xml:space="preserve">Client confirm live OCP revision/recipe ID (Gap G-10).</t>
  </si>
  <si>
    <t xml:space="preserve">  05 HF Welding   ·   A-59 M1 PLC / SCADA Tag Mapping</t>
  </si>
  <si>
    <t xml:space="preserve">05 HF Welding</t>
  </si>
  <si>
    <t xml:space="preserve">Weld</t>
  </si>
  <si>
    <t xml:space="preserve">Thermatool HF welder (Weld-Manager)</t>
  </si>
  <si>
    <t xml:space="preserve">A59-HFW</t>
  </si>
  <si>
    <t xml:space="preserve">Allen-Bradley</t>
  </si>
  <si>
    <t xml:space="preserve">MicroLogix 1400 + Thermatool Weld-Manager</t>
  </si>
  <si>
    <t xml:space="preserve">A59-HFW-PLC</t>
  </si>
  <si>
    <t xml:space="preserve">Thermatool Weld-Manager</t>
  </si>
  <si>
    <t xml:space="preserve">WinCC-style export PC</t>
  </si>
  <si>
    <t xml:space="preserve">Siemens KTP700 Basic (6AV2 123-2GB03-0AX0)</t>
  </si>
  <si>
    <t xml:space="preserve">SCADA</t>
  </si>
  <si>
    <t xml:space="preserve">POWER kW</t>
  </si>
  <si>
    <t xml:space="preserve">TC (EtherNet/IP tag)</t>
  </si>
  <si>
    <t xml:space="preserve">weld_power_kw</t>
  </si>
  <si>
    <t xml:space="preserve">Actual weld power</t>
  </si>
  <si>
    <t xml:space="preserve">Energy / Process Parameter</t>
  </si>
  <si>
    <t xml:space="preserve">kW</t>
  </si>
  <si>
    <t xml:space="preserve">0-219</t>
  </si>
  <si>
    <t xml:space="preserve">220</t>
  </si>
  <si>
    <t xml:space="preserve">OCP band 77-230</t>
  </si>
  <si>
    <t xml:space="preserve">Weld energy; setpoint compliance; energy KPI</t>
  </si>
  <si>
    <t xml:space="preserve">Energy + Process + OEE</t>
  </si>
  <si>
    <t xml:space="preserve">EtherNet/IP (CIP)</t>
  </si>
  <si>
    <t xml:space="preserve">pylogix / KEPServerEX; Weld-Manager CSV export</t>
  </si>
  <si>
    <t xml:space="preserve">CONFIRMED live (LOG/PROCESS export). Richest source.</t>
  </si>
  <si>
    <t xml:space="preserve">KW STORED VALUE</t>
  </si>
  <si>
    <t xml:space="preserve">weld_power_setpoint_kw</t>
  </si>
  <si>
    <t xml:space="preserve">Stored / reference weld power (setpoint)</t>
  </si>
  <si>
    <t xml:space="preserve">0-209</t>
  </si>
  <si>
    <t xml:space="preserve">Setpoint for kW monitoring / deviation</t>
  </si>
  <si>
    <t xml:space="preserve">Pairs with POWER kW (PV).</t>
  </si>
  <si>
    <t xml:space="preserve">KW OFFSET VALUE</t>
  </si>
  <si>
    <t xml:space="preserve">weld_power_offset_kw</t>
  </si>
  <si>
    <t xml:space="preserve">kW monitoring offset / tolerance band</t>
  </si>
  <si>
    <t xml:space="preserve">1-5</t>
  </si>
  <si>
    <t xml:space="preserve">Monitoring band for weld compliance</t>
  </si>
  <si>
    <t xml:space="preserve">KW MONITORING STATUS ON/OFF</t>
  </si>
  <si>
    <t xml:space="preserve">weld_kw_monitoring</t>
  </si>
  <si>
    <t xml:space="preserve">kW monitoring active flag</t>
  </si>
  <si>
    <t xml:space="preserve">ON/OFF</t>
  </si>
  <si>
    <t xml:space="preserve">ON / OFF</t>
  </si>
  <si>
    <t xml:space="preserve">Monitoring active flag</t>
  </si>
  <si>
    <t xml:space="preserve">FREQUENCY kHz</t>
  </si>
  <si>
    <t xml:space="preserve">weld_frequency_khz</t>
  </si>
  <si>
    <t xml:space="preserve">Weld oscillator frequency</t>
  </si>
  <si>
    <t xml:space="preserve">kHz</t>
  </si>
  <si>
    <t xml:space="preserve">0-190</t>
  </si>
  <si>
    <t xml:space="preserve">190</t>
  </si>
  <si>
    <t xml:space="preserve">Weld process signature</t>
  </si>
  <si>
    <t xml:space="preserve">VOLTAGE %</t>
  </si>
  <si>
    <t xml:space="preserve">weld_voltage_pct</t>
  </si>
  <si>
    <t xml:space="preserve">Weld voltage (% of range)</t>
  </si>
  <si>
    <t xml:space="preserve">0-75</t>
  </si>
  <si>
    <t xml:space="preserve">Weld electrical state</t>
  </si>
  <si>
    <t xml:space="preserve">Present only in LOG REPORT, not PROCESS REPORT.</t>
  </si>
  <si>
    <t xml:space="preserve">CURRENT %</t>
  </si>
  <si>
    <t xml:space="preserve">weld_current_pct</t>
  </si>
  <si>
    <t xml:space="preserve">Weld current (% of range)</t>
  </si>
  <si>
    <t xml:space="preserve">SPEED %</t>
  </si>
  <si>
    <t xml:space="preserve">weld_speed_pct</t>
  </si>
  <si>
    <t xml:space="preserve">Line speed (% of range)</t>
  </si>
  <si>
    <t xml:space="preserve">1-26</t>
  </si>
  <si>
    <t xml:space="preserve">Speed utilisation</t>
  </si>
  <si>
    <t xml:space="preserve">Performance + OEE</t>
  </si>
  <si>
    <t xml:space="preserve">SPEED mpm</t>
  </si>
  <si>
    <t xml:space="preserve">line_speed_mpm</t>
  </si>
  <si>
    <t xml:space="preserve">Line / weld speed</t>
  </si>
  <si>
    <t xml:space="preserve">0.9-16.8</t>
  </si>
  <si>
    <t xml:space="preserve">17</t>
  </si>
  <si>
    <t xml:space="preserve">OCP band</t>
  </si>
  <si>
    <t xml:space="preserve">Throughput; recipe compliance; downtime proxy</t>
  </si>
  <si>
    <t xml:space="preserve">Production + OEE + Downtime</t>
  </si>
  <si>
    <t xml:space="preserve">Confirmed streaming. Line-run proxy.</t>
  </si>
  <si>
    <t xml:space="preserve">Product</t>
  </si>
  <si>
    <t xml:space="preserve">PRODUCT O.D. (mm)</t>
  </si>
  <si>
    <t xml:space="preserve">product_od_mm</t>
  </si>
  <si>
    <t xml:space="preserve">Product outer diameter in production</t>
  </si>
  <si>
    <t xml:space="preserve">Quality / Product</t>
  </si>
  <si>
    <t xml:space="preserve">76.200</t>
  </si>
  <si>
    <t xml:space="preserve">matches order OD</t>
  </si>
  <si>
    <t xml:space="preserve">Product identity; recipe; dimensional context</t>
  </si>
  <si>
    <t xml:space="preserve">Quality + Production</t>
  </si>
  <si>
    <t xml:space="preserve">Reference OD for the run.</t>
  </si>
  <si>
    <t xml:space="preserve">WALL THICKNESS (mm)</t>
  </si>
  <si>
    <t xml:space="preserve">wall_thickness_mm</t>
  </si>
  <si>
    <t xml:space="preserve">Product wall thickness in production</t>
  </si>
  <si>
    <t xml:space="preserve">2.8-6.0</t>
  </si>
  <si>
    <t xml:space="preserve">Product identity; recipe</t>
  </si>
  <si>
    <t xml:space="preserve">VEE LENGTH (mm)</t>
  </si>
  <si>
    <t xml:space="preserve">weld_vee_length_mm</t>
  </si>
  <si>
    <t xml:space="preserve">Weld vee length</t>
  </si>
  <si>
    <t xml:space="preserve">114.9-115.1</t>
  </si>
  <si>
    <t xml:space="preserve">Weld geometry; setup cross-check</t>
  </si>
  <si>
    <t xml:space="preserve">AUTO V-length cross-check for TM setup.</t>
  </si>
  <si>
    <t xml:space="preserve">MESSAGE</t>
  </si>
  <si>
    <t xml:space="preserve">welder_message</t>
  </si>
  <si>
    <t xml:space="preserve">Welder status / fault message</t>
  </si>
  <si>
    <t xml:space="preserve">Downtime / Machine Status</t>
  </si>
  <si>
    <t xml:space="preserve">enum</t>
  </si>
  <si>
    <t xml:space="preserve">'WELDER PRODUCING HEAT' / 'WELDER FAULTS OK PRESS HEAT ON'</t>
  </si>
  <si>
    <t xml:space="preserve">Weld state; downtime / event log</t>
  </si>
  <si>
    <t xml:space="preserve">Downtime + OEE</t>
  </si>
  <si>
    <t xml:space="preserve">Message enum</t>
  </si>
  <si>
    <t xml:space="preserve">Welder fault text</t>
  </si>
  <si>
    <t xml:space="preserve">'WELDER PRODUCING HEAT' = weld-on proxy for run/stop.</t>
  </si>
  <si>
    <t xml:space="preserve">Time</t>
  </si>
  <si>
    <t xml:space="preserve">DATE AND TIME</t>
  </si>
  <si>
    <t xml:space="preserve">event_ts</t>
  </si>
  <si>
    <t xml:space="preserve">Sample timestamp</t>
  </si>
  <si>
    <t xml:space="preserve">DATETIME</t>
  </si>
  <si>
    <t xml:space="preserve">ts</t>
  </si>
  <si>
    <t xml:space="preserve">dd/mm/yyyy hh:mm:ss</t>
  </si>
  <si>
    <t xml:space="preserve">Time alignment / join across streams</t>
  </si>
  <si>
    <t xml:space="preserve">Primary time key; must be monotonic. IST UTC+05:30.</t>
  </si>
  <si>
    <t xml:space="preserve">recipe / process ID</t>
  </si>
  <si>
    <t xml:space="preserve">weld_process_id</t>
  </si>
  <si>
    <t xml:space="preserve">Weld recipe (OD×wall×grade)</t>
  </si>
  <si>
    <t xml:space="preserve">Traceability / Setup</t>
  </si>
  <si>
    <t xml:space="preserve">Recipe identity</t>
  </si>
  <si>
    <t xml:space="preserve">Confirm exact Weld-Manager tag on site.</t>
  </si>
  <si>
    <t xml:space="preserve">Hourly report</t>
  </si>
  <si>
    <t xml:space="preserve">PRODUCTION (ton)</t>
  </si>
  <si>
    <t xml:space="preserve">production_ton_hourly</t>
  </si>
  <si>
    <t xml:space="preserve">Tube produced per hour</t>
  </si>
  <si>
    <t xml:space="preserve">t/h</t>
  </si>
  <si>
    <t xml:space="preserve">0.009-3.626</t>
  </si>
  <si>
    <t xml:space="preserve">Production KPI / tonnage cross-check</t>
  </si>
  <si>
    <t xml:space="preserve">Hourly</t>
  </si>
  <si>
    <t xml:space="preserve">24 h total 47.390 t (05-06 Sep).</t>
  </si>
  <si>
    <t xml:space="preserve">ENERGY USAGE (kWh)</t>
  </si>
  <si>
    <t xml:space="preserve">energy_kwh</t>
  </si>
  <si>
    <t xml:space="preserve">Energy consumed per hour</t>
  </si>
  <si>
    <t xml:space="preserve">kWh</t>
  </si>
  <si>
    <t xml:space="preserve">0.5-222</t>
  </si>
  <si>
    <t xml:space="preserve">Energy KPI</t>
  </si>
  <si>
    <t xml:space="preserve">24 h total 2843.5 kWh.</t>
  </si>
  <si>
    <t xml:space="preserve">ENERGY COST (INR)</t>
  </si>
  <si>
    <t xml:space="preserve">energy_cost_inr</t>
  </si>
  <si>
    <t xml:space="preserve">Energy cost per hour</t>
  </si>
  <si>
    <t xml:space="preserve">INR</t>
  </si>
  <si>
    <t xml:space="preserve">4-1776</t>
  </si>
  <si>
    <t xml:space="preserve">Cost KPI</t>
  </si>
  <si>
    <t xml:space="preserve">kWh × tariff; implied ≈8 INR/kWh - confirm tariff (Gap G-09).</t>
  </si>
  <si>
    <t xml:space="preserve">MATERIAL TYPE</t>
  </si>
  <si>
    <t xml:space="preserve">material_type</t>
  </si>
  <si>
    <t xml:space="preserve">Material class</t>
  </si>
  <si>
    <t xml:space="preserve">MILD STEEL</t>
  </si>
  <si>
    <t xml:space="preserve">Material class context</t>
  </si>
  <si>
    <t xml:space="preserve">  06 Sizing   ·   A-59 M1 PLC / SCADA Tag Mapping</t>
  </si>
  <si>
    <t xml:space="preserve">06 Sizing</t>
  </si>
  <si>
    <t xml:space="preserve">Geometry</t>
  </si>
  <si>
    <t xml:space="preserve">Sizing stands + online inspection (mill line, shared PLC)</t>
  </si>
  <si>
    <t xml:space="preserve">TM4-A59-SZ</t>
  </si>
  <si>
    <t xml:space="preserve">OD setpoint</t>
  </si>
  <si>
    <t xml:space="preserve">size_od_sp</t>
  </si>
  <si>
    <t xml:space="preserve">Sizing OD setpoint</t>
  </si>
  <si>
    <t xml:space="preserve">Geometry target (SP vs actual)</t>
  </si>
  <si>
    <t xml:space="preserve">Shared mill-line PLC.</t>
  </si>
  <si>
    <t xml:space="preserve">OD actual</t>
  </si>
  <si>
    <t xml:space="preserve">size_od_actual</t>
  </si>
  <si>
    <t xml:space="preserve">Sizing OD actual</t>
  </si>
  <si>
    <t xml:space="preserve">Quality / Process Parameter</t>
  </si>
  <si>
    <t xml:space="preserve">SP ±tol</t>
  </si>
  <si>
    <t xml:space="preserve">Geometry control / deviation</t>
  </si>
  <si>
    <t xml:space="preserve">wall actual</t>
  </si>
  <si>
    <t xml:space="preserve">size_wall_actual</t>
  </si>
  <si>
    <t xml:space="preserve">Sized wall thickness / uniformity</t>
  </si>
  <si>
    <t xml:space="preserve">Geometry control</t>
  </si>
  <si>
    <t xml:space="preserve">Rolls</t>
  </si>
  <si>
    <t xml:space="preserve">roll positions</t>
  </si>
  <si>
    <t xml:space="preserve">size_roll_position</t>
  </si>
  <si>
    <t xml:space="preserve">Sizing roll / stand positions</t>
  </si>
  <si>
    <t xml:space="preserve">Setup / Process Parameter</t>
  </si>
  <si>
    <t xml:space="preserve">Setup traceability</t>
  </si>
  <si>
    <t xml:space="preserve">  07 Turk Head   ·   A-59 M1 PLC / SCADA Tag Mapping</t>
  </si>
  <si>
    <t xml:space="preserve">07 Turk Head</t>
  </si>
  <si>
    <t xml:space="preserve">Turk-head straightener (mill line PLC)</t>
  </si>
  <si>
    <t xml:space="preserve">TM4-A59-TH</t>
  </si>
  <si>
    <t xml:space="preserve">th_roll_position</t>
  </si>
  <si>
    <t xml:space="preserve">Turk-head roll positions</t>
  </si>
  <si>
    <t xml:space="preserve">Straightening setup traceability</t>
  </si>
  <si>
    <t xml:space="preserve">Signals not confirmed exposed (Gap G-07).</t>
  </si>
  <si>
    <t xml:space="preserve">straightness result</t>
  </si>
  <si>
    <t xml:space="preserve">th_straightness</t>
  </si>
  <si>
    <t xml:space="preserve">Straightness measurement result</t>
  </si>
  <si>
    <t xml:space="preserve">Straightness quality</t>
  </si>
  <si>
    <t xml:space="preserve">th_drive_status</t>
  </si>
  <si>
    <t xml:space="preserve">Turk-head drive / interlock state</t>
  </si>
  <si>
    <t xml:space="preserve">  08 Cut-Off (COC)   ·   A-59 M1 PLC / SCADA Tag Mapping</t>
  </si>
  <si>
    <t xml:space="preserve">08 Cut-Off (COC)</t>
  </si>
  <si>
    <t xml:space="preserve">Cut</t>
  </si>
  <si>
    <t xml:space="preserve">Flying cut-off (COC) servo cutter</t>
  </si>
  <si>
    <t xml:space="preserve">A59-COC</t>
  </si>
  <si>
    <t xml:space="preserve">Beckhoff</t>
  </si>
  <si>
    <t xml:space="preserve">CX / IPC (TwinCAT)</t>
  </si>
  <si>
    <t xml:space="preserve">A59-COC-PLC</t>
  </si>
  <si>
    <t xml:space="preserve">Monitouch</t>
  </si>
  <si>
    <t xml:space="preserve">cut length set</t>
  </si>
  <si>
    <t xml:space="preserve">coc_cut_length_sp</t>
  </si>
  <si>
    <t xml:space="preserve">Target cut length</t>
  </si>
  <si>
    <t xml:space="preserve">Length control (from order/route)</t>
  </si>
  <si>
    <t xml:space="preserve">Production Monitoring / Quality</t>
  </si>
  <si>
    <t xml:space="preserve">ADS (TCP) / OPC UA</t>
  </si>
  <si>
    <t xml:space="preserve">TwinCAT OPC UA server / pyads</t>
  </si>
  <si>
    <t xml:space="preserve">Also on PPC/route. Enable OPC UA (TwinCAT).</t>
  </si>
  <si>
    <t xml:space="preserve">cut length actual</t>
  </si>
  <si>
    <t xml:space="preserve">coc_cut_length_actual</t>
  </si>
  <si>
    <t xml:space="preserve">Measured / achieved cut length</t>
  </si>
  <si>
    <t xml:space="preserve">Length QA (SP vs actual)</t>
  </si>
  <si>
    <t xml:space="preserve">Per cut</t>
  </si>
  <si>
    <t xml:space="preserve">encoder position</t>
  </si>
  <si>
    <t xml:space="preserve">coc_encoder_position</t>
  </si>
  <si>
    <t xml:space="preserve">Line encoder position for cut sync</t>
  </si>
  <si>
    <t xml:space="preserve">counts</t>
  </si>
  <si>
    <t xml:space="preserve">Cut synchronisation</t>
  </si>
  <si>
    <t xml:space="preserve">cutter cycle count</t>
  </si>
  <si>
    <t xml:space="preserve">coc_cutter_cycle_count</t>
  </si>
  <si>
    <t xml:space="preserve">Cutter cycle counter</t>
  </si>
  <si>
    <t xml:space="preserve">Production / Maintenance</t>
  </si>
  <si>
    <t xml:space="preserve">Cut count / OEE; cutter wear</t>
  </si>
  <si>
    <t xml:space="preserve">OEE / Maintenance</t>
  </si>
  <si>
    <t xml:space="preserve">produced piece count</t>
  </si>
  <si>
    <t xml:space="preserve">coc_produced_count</t>
  </si>
  <si>
    <t xml:space="preserve">Pieces produced (finished tubes)</t>
  </si>
  <si>
    <t xml:space="preserve">Primary production count for OEE/yield</t>
  </si>
  <si>
    <t xml:space="preserve">Primary piece-count source.</t>
  </si>
  <si>
    <t xml:space="preserve">reject piece count</t>
  </si>
  <si>
    <t xml:space="preserve">coc_reject_count</t>
  </si>
  <si>
    <t xml:space="preserve">Pieces rejected</t>
  </si>
  <si>
    <t xml:space="preserve">Yield / quality (rejection rate)</t>
  </si>
  <si>
    <t xml:space="preserve">Quality + OEE</t>
  </si>
  <si>
    <t xml:space="preserve">machine mode</t>
  </si>
  <si>
    <t xml:space="preserve">coc_mode</t>
  </si>
  <si>
    <t xml:space="preserve">Auto/manual and cutter ready</t>
  </si>
  <si>
    <t xml:space="preserve">Auto / Manual / Ready</t>
  </si>
  <si>
    <t xml:space="preserve">Context / availability</t>
  </si>
  <si>
    <t xml:space="preserve">  09 Quality / NDT   ·   A-59 M1 PLC / SCADA Tag Mapping</t>
  </si>
  <si>
    <t xml:space="preserve">09 Quality / NDT</t>
  </si>
  <si>
    <t xml:space="preserve">NDT</t>
  </si>
  <si>
    <t xml:space="preserve">Online inspection + UT/MPI NDT stations</t>
  </si>
  <si>
    <t xml:space="preserve">A59-QA</t>
  </si>
  <si>
    <t xml:space="preserve">MS Enviro-tech</t>
  </si>
  <si>
    <t xml:space="preserve">U-WAVEPAK (UT) + Magneto-Resonance (MPI)</t>
  </si>
  <si>
    <t xml:space="preserve">NDT PC app</t>
  </si>
  <si>
    <t xml:space="preserve">PC app</t>
  </si>
  <si>
    <t xml:space="preserve">NDT PC</t>
  </si>
  <si>
    <t xml:space="preserve">PC app UI</t>
  </si>
  <si>
    <t xml:space="preserve">Instrument (PC app)</t>
  </si>
  <si>
    <t xml:space="preserve">UT/ECT result</t>
  </si>
  <si>
    <t xml:space="preserve">U-WAVEPAK export</t>
  </si>
  <si>
    <t xml:space="preserve">qa_ut_ect_result</t>
  </si>
  <si>
    <t xml:space="preserve">Ultrasonic / eddy-current pass-fail</t>
  </si>
  <si>
    <t xml:space="preserve">pass / fail</t>
  </si>
  <si>
    <t xml:space="preserve">Weld / NDT acceptance</t>
  </si>
  <si>
    <t xml:space="preserve">Per tube/lot</t>
  </si>
  <si>
    <t xml:space="preserve">File / DB export</t>
  </si>
  <si>
    <t xml:space="preserve">File/DB import connector</t>
  </si>
  <si>
    <t xml:space="preserve">Confirm data-file/DB export path (Gap G-06).</t>
  </si>
  <si>
    <t xml:space="preserve">MPI result</t>
  </si>
  <si>
    <t xml:space="preserve">MPI tester export</t>
  </si>
  <si>
    <t xml:space="preserve">qa_mpi_result</t>
  </si>
  <si>
    <t xml:space="preserve">Magnetic-particle / resonance test result</t>
  </si>
  <si>
    <t xml:space="preserve">Surface / NDT acceptance</t>
  </si>
  <si>
    <t xml:space="preserve">wall-thickness scan</t>
  </si>
  <si>
    <t xml:space="preserve">qa_wall_scan</t>
  </si>
  <si>
    <t xml:space="preserve">UT wall-thickness scan value</t>
  </si>
  <si>
    <t xml:space="preserve">Wall QA</t>
  </si>
  <si>
    <t xml:space="preserve">Per tube</t>
  </si>
  <si>
    <t xml:space="preserve">Dims</t>
  </si>
  <si>
    <t xml:space="preserve">measured OD (min/max)</t>
  </si>
  <si>
    <t xml:space="preserve">qa_measured_od</t>
  </si>
  <si>
    <t xml:space="preserve">Measured OD at inspection</t>
  </si>
  <si>
    <t xml:space="preserve">spec min/max</t>
  </si>
  <si>
    <t xml:space="preserve">Dimensional acceptance</t>
  </si>
  <si>
    <t xml:space="preserve">Per lot/sample</t>
  </si>
  <si>
    <t xml:space="preserve">GLI-FT-QA-04 online inspection.</t>
  </si>
  <si>
    <t xml:space="preserve">measured wall / length</t>
  </si>
  <si>
    <t xml:space="preserve">qa_measured_wall_len</t>
  </si>
  <si>
    <t xml:space="preserve">Measured wall thickness &amp; finished length</t>
  </si>
  <si>
    <t xml:space="preserve">flattening FLT 0 / FLT 90</t>
  </si>
  <si>
    <t xml:space="preserve">qa_flt_0_90</t>
  </si>
  <si>
    <t xml:space="preserve">Flattening test 0° / 90° result</t>
  </si>
  <si>
    <t xml:space="preserve">2t min</t>
  </si>
  <si>
    <t xml:space="preserve">Weld integrity</t>
  </si>
  <si>
    <t xml:space="preserve">Per lot</t>
  </si>
  <si>
    <t xml:space="preserve">Surface</t>
  </si>
  <si>
    <t xml:space="preserve">surface defect</t>
  </si>
  <si>
    <t xml:space="preserve">qa_surface_defect</t>
  </si>
  <si>
    <t xml:space="preserve">Scratch / tool mark / roll pickup</t>
  </si>
  <si>
    <t xml:space="preserve">Surface quality</t>
  </si>
  <si>
    <t xml:space="preserve">Disposition</t>
  </si>
  <si>
    <t xml:space="preserve">rejection &amp; reason</t>
  </si>
  <si>
    <t xml:space="preserve">qa_rejection_reason</t>
  </si>
  <si>
    <t xml:space="preserve">Disposition and reject reason</t>
  </si>
  <si>
    <t xml:space="preserve">Yield / defect analysis</t>
  </si>
  <si>
    <t xml:space="preserve">Class split Prime/PQ2/CQ/Open/Joints (QA-04).</t>
  </si>
  <si>
    <t xml:space="preserve">  10 End Facing   ·   A-59 M1 PLC / SCADA Tag Mapping</t>
  </si>
  <si>
    <t xml:space="preserve">10 End Facing</t>
  </si>
  <si>
    <t xml:space="preserve">Facing</t>
  </si>
  <si>
    <t xml:space="preserve">End-facing machine (online)</t>
  </si>
  <si>
    <t xml:space="preserve">A59-EF</t>
  </si>
  <si>
    <t xml:space="preserve">facing length/amount</t>
  </si>
  <si>
    <t xml:space="preserve">ef_facing_amount</t>
  </si>
  <si>
    <t xml:space="preserve">End-facing length / amount</t>
  </si>
  <si>
    <t xml:space="preserve">End condition control</t>
  </si>
  <si>
    <t xml:space="preserve">Per piece</t>
  </si>
  <si>
    <t xml:space="preserve">Confirm instrumentation on site (Gap G-07).</t>
  </si>
  <si>
    <t xml:space="preserve">Tool</t>
  </si>
  <si>
    <t xml:space="preserve">tool condition</t>
  </si>
  <si>
    <t xml:space="preserve">ef_tool_condition</t>
  </si>
  <si>
    <t xml:space="preserve">Facing tool ID / wear status</t>
  </si>
  <si>
    <t xml:space="preserve">Per shift</t>
  </si>
  <si>
    <t xml:space="preserve">No source today.</t>
  </si>
  <si>
    <t xml:space="preserve">end squareness / burr</t>
  </si>
  <si>
    <t xml:space="preserve">ef_end_squareness</t>
  </si>
  <si>
    <t xml:space="preserve">End squareness / burr / chamfer</t>
  </si>
  <si>
    <t xml:space="preserve">End quality</t>
  </si>
  <si>
    <t xml:space="preserve">Sample</t>
  </si>
  <si>
    <t xml:space="preserve">  11 Furnace (RHF)   ·   A-59 M1 PLC / SCADA Tag Mapping</t>
  </si>
  <si>
    <t xml:space="preserve">11 Furnace (RHF)</t>
  </si>
  <si>
    <t xml:space="preserve">Zones</t>
  </si>
  <si>
    <t xml:space="preserve">Roller-hearth annealing furnaces RHF-03/04/05</t>
  </si>
  <si>
    <t xml:space="preserve">RHF-03/04/05</t>
  </si>
  <si>
    <t xml:space="preserve">SIMATIC S7-300 CPU 315-2 PN/DP</t>
  </si>
  <si>
    <t xml:space="preserve">RHF-03</t>
  </si>
  <si>
    <t xml:space="preserve">6ES7 315-2EH14-0AB0</t>
  </si>
  <si>
    <t xml:space="preserve">Seco/Warwick WinCC</t>
  </si>
  <si>
    <t xml:space="preserve">Furnace SCADA PC (WinCC)</t>
  </si>
  <si>
    <t xml:space="preserve">Siemens HMI</t>
  </si>
  <si>
    <t xml:space="preserve">SCADA / Historian</t>
  </si>
  <si>
    <t xml:space="preserve">zone 1 temp (Min/Max)</t>
  </si>
  <si>
    <t xml:space="preserve">TC (S7 DB)</t>
  </si>
  <si>
    <t xml:space="preserve">zone1_pv_c</t>
  </si>
  <si>
    <t xml:space="preserve">Furnace zone 1 temperature (actual, Min/Max)</t>
  </si>
  <si>
    <t xml:space="preserve">soaking ±10 °C</t>
  </si>
  <si>
    <t xml:space="preserve">Heat-treatment control; soaking compliance</t>
  </si>
  <si>
    <t xml:space="preserve">1-5 s</t>
  </si>
  <si>
    <t xml:space="preserve">S7comm (ISO-on-TCP, port 102)</t>
  </si>
  <si>
    <t xml:space="preserve">Snap7 / KEPServerEX / SCADA historian OPC</t>
  </si>
  <si>
    <t xml:space="preserve">6 zones I-VI on ANN-FT-01. RHF SCADA already logs these.</t>
  </si>
  <si>
    <t xml:space="preserve">zone 2 temp (Min/Max)</t>
  </si>
  <si>
    <t xml:space="preserve">zone2_pv_c</t>
  </si>
  <si>
    <t xml:space="preserve">Furnace zone 2 temperature (actual, Min/Max)</t>
  </si>
  <si>
    <t xml:space="preserve">zone 3 temp (Min/Max)</t>
  </si>
  <si>
    <t xml:space="preserve">zone3_pv_c</t>
  </si>
  <si>
    <t xml:space="preserve">Furnace zone 3 temperature (actual, Min/Max)</t>
  </si>
  <si>
    <t xml:space="preserve">zone 4 temp (Min/Max)</t>
  </si>
  <si>
    <t xml:space="preserve">zone4_pv_c</t>
  </si>
  <si>
    <t xml:space="preserve">Furnace zone 4 temperature (actual, Min/Max)</t>
  </si>
  <si>
    <t xml:space="preserve">zone 5 temp (Min/Max)</t>
  </si>
  <si>
    <t xml:space="preserve">zone5_pv_c</t>
  </si>
  <si>
    <t xml:space="preserve">Furnace zone 5 temperature (actual, Min/Max)</t>
  </si>
  <si>
    <t xml:space="preserve">zone 6 temp (Min/Max)</t>
  </si>
  <si>
    <t xml:space="preserve">zone6_pv_c</t>
  </si>
  <si>
    <t xml:space="preserve">Furnace zone 6 temperature (actual, Min/Max)</t>
  </si>
  <si>
    <t xml:space="preserve">zone temp SP</t>
  </si>
  <si>
    <t xml:space="preserve">zone_temp_sp_c</t>
  </si>
  <si>
    <t xml:space="preserve">Furnace zone temperature setpoint</t>
  </si>
  <si>
    <t xml:space="preserve">Recipe setpoint (grade)</t>
  </si>
  <si>
    <t xml:space="preserve">Grade recipe (ANN-02/03/04). Client confirm.</t>
  </si>
  <si>
    <t xml:space="preserve">Cooling</t>
  </si>
  <si>
    <t xml:space="preserve">cooling water in / out</t>
  </si>
  <si>
    <t xml:space="preserve">coolwater_in_out_c</t>
  </si>
  <si>
    <t xml:space="preserve">Inlet / outlet cooling-water temperature</t>
  </si>
  <si>
    <t xml:space="preserve">rhf_line_speed</t>
  </si>
  <si>
    <t xml:space="preserve">Furnace line speed</t>
  </si>
  <si>
    <t xml:space="preserve">m/hr</t>
  </si>
  <si>
    <t xml:space="preserve">±2 m/hr</t>
  </si>
  <si>
    <t xml:space="preserve">Residence / throughput; recipe compliance</t>
  </si>
  <si>
    <t xml:space="preserve">Production + Process</t>
  </si>
  <si>
    <t xml:space="preserve">Charging</t>
  </si>
  <si>
    <t xml:space="preserve">charging W/O</t>
  </si>
  <si>
    <t xml:space="preserve">rhf_charging_wo</t>
  </si>
  <si>
    <t xml:space="preserve">Work order charged into furnace</t>
  </si>
  <si>
    <t xml:space="preserve">Genealogy (charge lot)</t>
  </si>
  <si>
    <t xml:space="preserve">Per charge</t>
  </si>
  <si>
    <t xml:space="preserve">Batch gap 300 mm lots / 6000 mm batches.</t>
  </si>
  <si>
    <t xml:space="preserve">program state</t>
  </si>
  <si>
    <t xml:space="preserve">rhf_program_state</t>
  </si>
  <si>
    <t xml:space="preserve">Heating / soaking / cooling state</t>
  </si>
  <si>
    <t xml:space="preserve">Heating / Soaking / Cooling</t>
  </si>
  <si>
    <t xml:space="preserve">Process state; OEE</t>
  </si>
  <si>
    <t xml:space="preserve">OEE + Process</t>
  </si>
  <si>
    <t xml:space="preserve">Charge</t>
  </si>
  <si>
    <t xml:space="preserve">no. of tubes / HT type</t>
  </si>
  <si>
    <t xml:space="preserve">tube_count_ht_type</t>
  </si>
  <si>
    <t xml:space="preserve">Charge count and heat-treatment type</t>
  </si>
  <si>
    <t xml:space="preserve">pcs</t>
  </si>
  <si>
    <t xml:space="preserve">ANNEAL / NORMALIZE / SRA</t>
  </si>
  <si>
    <t xml:space="preserve">Charge production; HT recipe</t>
  </si>
  <si>
    <t xml:space="preserve">HT type derived from grade.</t>
  </si>
  <si>
    <t xml:space="preserve">Gas plant</t>
  </si>
  <si>
    <t xml:space="preserve">Atmosphere</t>
  </si>
  <si>
    <t xml:space="preserve">N2-PSA &amp; EXO gas plants (protective atmosphere)</t>
  </si>
  <si>
    <t xml:space="preserve">GAS-N2/EXO</t>
  </si>
  <si>
    <t xml:space="preserve">SELEC / instrument</t>
  </si>
  <si>
    <t xml:space="preserve">Standalone controller / meter</t>
  </si>
  <si>
    <t xml:space="preserve">Local</t>
  </si>
  <si>
    <t xml:space="preserve">Local display</t>
  </si>
  <si>
    <t xml:space="preserve">Instrument / Manual</t>
  </si>
  <si>
    <t xml:space="preserve">dew point</t>
  </si>
  <si>
    <t xml:space="preserve">gas_dew_point_c</t>
  </si>
  <si>
    <t xml:space="preserve">Furnace atmosphere dew point</t>
  </si>
  <si>
    <t xml:space="preserve">N2: -40..-110; EXO: +20..-45</t>
  </si>
  <si>
    <t xml:space="preserve">Atmosphere quality (anneal)</t>
  </si>
  <si>
    <t xml:space="preserve">1-5 s / hourly</t>
  </si>
  <si>
    <t xml:space="preserve">Modbus RTU (if port) / manual</t>
  </si>
  <si>
    <t xml:space="preserve">Modbus retrofit or manual</t>
  </si>
  <si>
    <t xml:space="preserve">AUTO if plant PLC tapped; else hourly log.</t>
  </si>
  <si>
    <t xml:space="preserve">final H2 %</t>
  </si>
  <si>
    <t xml:space="preserve">gas_h2_pct</t>
  </si>
  <si>
    <t xml:space="preserve">Atmosphere hydrogen content</t>
  </si>
  <si>
    <t xml:space="preserve">N2 1-10; EXO 0.1-5.0</t>
  </si>
  <si>
    <t xml:space="preserve">Atmosphere quality</t>
  </si>
  <si>
    <t xml:space="preserve">O2 product gas</t>
  </si>
  <si>
    <t xml:space="preserve">gas_o2_ppm</t>
  </si>
  <si>
    <t xml:space="preserve">Oxygen concentration in product gas</t>
  </si>
  <si>
    <t xml:space="preserve">ppm</t>
  </si>
  <si>
    <t xml:space="preserve">10</t>
  </si>
  <si>
    <t xml:space="preserve">PNG / gas consumption</t>
  </si>
  <si>
    <t xml:space="preserve">gas_png_consumption</t>
  </si>
  <si>
    <t xml:space="preserve">Furnace fuel / atmosphere gas consumption</t>
  </si>
  <si>
    <t xml:space="preserve">Nm³</t>
  </si>
  <si>
    <t xml:space="preserve">Energy attribution (furnace)</t>
  </si>
  <si>
    <t xml:space="preserve">PNG (A/B/C) + NH3 (N2 route). Meter if wired.</t>
  </si>
  <si>
    <t xml:space="preserve">  12 STP   ·   A-59 M1 PLC / SCADA Tag Mapping</t>
  </si>
  <si>
    <t xml:space="preserve">12 STP</t>
  </si>
  <si>
    <t xml:space="preserve">Sequence</t>
  </si>
  <si>
    <t xml:space="preserve">STP surface-treatment line (2-wagon auto crane)</t>
  </si>
  <si>
    <t xml:space="preserve">A59-STP</t>
  </si>
  <si>
    <t xml:space="preserve">SIMATIC ET 200S (IM151 CPU)</t>
  </si>
  <si>
    <t xml:space="preserve">A59-STP-PLC</t>
  </si>
  <si>
    <t xml:space="preserve">Siemens SCADA</t>
  </si>
  <si>
    <t xml:space="preserve">TP700 Comfort (6AV2 124-0GC01-0AX0)</t>
  </si>
  <si>
    <t xml:space="preserve">HMI / PLC</t>
  </si>
  <si>
    <t xml:space="preserve">tank station</t>
  </si>
  <si>
    <t xml:space="preserve">TP700 tag (TC)</t>
  </si>
  <si>
    <t xml:space="preserve">stp_tank_station</t>
  </si>
  <si>
    <t xml:space="preserve">Current tank / station in sequence</t>
  </si>
  <si>
    <t xml:space="preserve">Machine Status / Process</t>
  </si>
  <si>
    <t xml:space="preserve">Deg→Rinse→Pick→Activation→Phos→Neutr→Lube→Dryer</t>
  </si>
  <si>
    <t xml:space="preserve">Process sequencing</t>
  </si>
  <si>
    <t xml:space="preserve">S7comm / OPC UA (via TP700 Comfort)</t>
  </si>
  <si>
    <t xml:space="preserve">OPC UA (Comfort panel) / Snap7</t>
  </si>
  <si>
    <t xml:space="preserve">Auto crane sequence via TP700 Comfort.</t>
  </si>
  <si>
    <t xml:space="preserve">Bath temp</t>
  </si>
  <si>
    <t xml:space="preserve">Temp</t>
  </si>
  <si>
    <t xml:space="preserve">degreasing temp + time</t>
  </si>
  <si>
    <t xml:space="preserve">stp_degrease_temp_time</t>
  </si>
  <si>
    <t xml:space="preserve">Degreasing bath temperature &amp; dip time</t>
  </si>
  <si>
    <t xml:space="preserve">°C / min</t>
  </si>
  <si>
    <t xml:space="preserve">76 °C</t>
  </si>
  <si>
    <t xml:space="preserve">75-85 °C, 10-15 min</t>
  </si>
  <si>
    <t xml:space="preserve">Process compliance (degrease)</t>
  </si>
  <si>
    <t xml:space="preserve">G-390. Preset recipe, crane auto.</t>
  </si>
  <si>
    <t xml:space="preserve">phosphating temp + time</t>
  </si>
  <si>
    <t xml:space="preserve">stp_phos_temp_time</t>
  </si>
  <si>
    <t xml:space="preserve">Phosphating bath temperature &amp; dip time</t>
  </si>
  <si>
    <t xml:space="preserve">73 °C</t>
  </si>
  <si>
    <t xml:space="preserve">65-75 °C, 6-11 min</t>
  </si>
  <si>
    <t xml:space="preserve">Coating compliance</t>
  </si>
  <si>
    <t xml:space="preserve">3510E/3510A.</t>
  </si>
  <si>
    <t xml:space="preserve">neutraliser temp</t>
  </si>
  <si>
    <t xml:space="preserve">stp_neut_temp</t>
  </si>
  <si>
    <t xml:space="preserve">Neutraliser bath temperature</t>
  </si>
  <si>
    <t xml:space="preserve">51 °C</t>
  </si>
  <si>
    <t xml:space="preserve">50-60 °C</t>
  </si>
  <si>
    <t xml:space="preserve">Process compliance</t>
  </si>
  <si>
    <t xml:space="preserve">lube temp + time</t>
  </si>
  <si>
    <t xml:space="preserve">stp_lube_temp_time</t>
  </si>
  <si>
    <t xml:space="preserve">Lubrication bath temperature &amp; dip time</t>
  </si>
  <si>
    <t xml:space="preserve">72 °C</t>
  </si>
  <si>
    <t xml:space="preserve">70-75 °C, 7-12 min</t>
  </si>
  <si>
    <t xml:space="preserve">Draw-lube compliance</t>
  </si>
  <si>
    <t xml:space="preserve">G-3005. Phosphate+lube feed the draw.</t>
  </si>
  <si>
    <t xml:space="preserve">dryer temp + time</t>
  </si>
  <si>
    <t xml:space="preserve">stp_dryer_temp_time</t>
  </si>
  <si>
    <t xml:space="preserve">Dryer temperature &amp; dip time</t>
  </si>
  <si>
    <t xml:space="preserve">111 °C</t>
  </si>
  <si>
    <t xml:space="preserve">80-120 °C, 12-17 min</t>
  </si>
  <si>
    <t xml:space="preserve">Drying compliance</t>
  </si>
  <si>
    <t xml:space="preserve">Thermopac.</t>
  </si>
  <si>
    <t xml:space="preserve">Timers</t>
  </si>
  <si>
    <t xml:space="preserve">dip time (per tank)</t>
  </si>
  <si>
    <t xml:space="preserve">stp_dip_time</t>
  </si>
  <si>
    <t xml:space="preserve">Dip time per tank</t>
  </si>
  <si>
    <t xml:space="preserve">min</t>
  </si>
  <si>
    <t xml:space="preserve">per-stage window</t>
  </si>
  <si>
    <t xml:space="preserve">Residence compliance</t>
  </si>
  <si>
    <t xml:space="preserve">Crane auto mode; preset per stage.</t>
  </si>
  <si>
    <t xml:space="preserve">Wagon</t>
  </si>
  <si>
    <t xml:space="preserve">wagon-1/2 mode</t>
  </si>
  <si>
    <t xml:space="preserve">stp_wagon_mode</t>
  </si>
  <si>
    <t xml:space="preserve">Wagon operating mode</t>
  </si>
  <si>
    <t xml:space="preserve">AUTO / MANUAL</t>
  </si>
  <si>
    <t xml:space="preserve">Automation state; OEE</t>
  </si>
  <si>
    <t xml:space="preserve">OEE + Machine status</t>
  </si>
  <si>
    <t xml:space="preserve">cycle state</t>
  </si>
  <si>
    <t xml:space="preserve">stp_cycle_state</t>
  </si>
  <si>
    <t xml:space="preserve">System cycle / control state</t>
  </si>
  <si>
    <t xml:space="preserve">Cycle Running / Control ON / AUTO</t>
  </si>
  <si>
    <t xml:space="preserve">Process state; availability</t>
  </si>
  <si>
    <t xml:space="preserve">hoist/traverse drive health</t>
  </si>
  <si>
    <t xml:space="preserve">stp_drive_health</t>
  </si>
  <si>
    <t xml:space="preserve">Hoist / traverse drive healthy</t>
  </si>
  <si>
    <t xml:space="preserve">W1/W2 Hoist-1/2, Traverse.</t>
  </si>
  <si>
    <t xml:space="preserve">Bath analysis</t>
  </si>
  <si>
    <t xml:space="preserve">HCl concentration / Fe</t>
  </si>
  <si>
    <t xml:space="preserve">stp_hcl_fe</t>
  </si>
  <si>
    <t xml:space="preserve">Pickling HCl concentration &amp; iron content</t>
  </si>
  <si>
    <t xml:space="preserve">Process Parameter / Quality</t>
  </si>
  <si>
    <t xml:space="preserve">18.6% HCl</t>
  </si>
  <si>
    <t xml:space="preserve">HCl 6-22%; Fe ≤10%</t>
  </si>
  <si>
    <t xml:space="preserve">Pickling control / bath life</t>
  </si>
  <si>
    <t xml:space="preserve">Per shift/batch</t>
  </si>
  <si>
    <t xml:space="preserve">Lab</t>
  </si>
  <si>
    <t xml:space="preserve">Lab titration (STP-01A).</t>
  </si>
  <si>
    <t xml:space="preserve">phosphating TA / FA / ACC</t>
  </si>
  <si>
    <t xml:space="preserve">stp_phos_ta_fa_acc</t>
  </si>
  <si>
    <t xml:space="preserve">Phosphating total/free acidity &amp; accelerator</t>
  </si>
  <si>
    <t xml:space="preserve">ml/pt</t>
  </si>
  <si>
    <t xml:space="preserve">TA 32-38; FA 4-6; ACC 3-5</t>
  </si>
  <si>
    <t xml:space="preserve">Coating control</t>
  </si>
  <si>
    <t xml:space="preserve">Coating</t>
  </si>
  <si>
    <t xml:space="preserve">phosphate coating weight</t>
  </si>
  <si>
    <t xml:space="preserve">stp_coating_gm2</t>
  </si>
  <si>
    <t xml:space="preserve">Phosphated coating weight</t>
  </si>
  <si>
    <t xml:space="preserve">g/m²</t>
  </si>
  <si>
    <t xml:space="preserve">4.0-8.0 g/m²</t>
  </si>
  <si>
    <t xml:space="preserve">Coating acceptance (draw lube carrier)</t>
  </si>
  <si>
    <t xml:space="preserve">Weekly (2 samples)</t>
  </si>
  <si>
    <t xml:space="preserve">STP-06.</t>
  </si>
  <si>
    <t xml:space="preserve">  13 Drawing   ·   A-59 M1 PLC / SCADA Tag Mapping</t>
  </si>
  <si>
    <t xml:space="preserve">13 Drawing</t>
  </si>
  <si>
    <t xml:space="preserve">Draw</t>
  </si>
  <si>
    <t xml:space="preserve">Draw benches DB-01…DB-07 + swaging</t>
  </si>
  <si>
    <t xml:space="preserve">DB-01..07</t>
  </si>
  <si>
    <t xml:space="preserve">Mixed (see PLC_Architecture)</t>
  </si>
  <si>
    <t xml:space="preserve">Fatek / S7-200CN ×3 / S7-200 SMART / ET200S</t>
  </si>
  <si>
    <t xml:space="preserve">DB-01…DB-07</t>
  </si>
  <si>
    <t xml:space="preserve">Per bench</t>
  </si>
  <si>
    <t xml:space="preserve">Exor eSMART07M / KTP700 Basic</t>
  </si>
  <si>
    <t xml:space="preserve">pull / draw load</t>
  </si>
  <si>
    <t xml:space="preserve">draw_pull_load</t>
  </si>
  <si>
    <t xml:space="preserve">Drawing pull load</t>
  </si>
  <si>
    <t xml:space="preserve">Process Parameter / Machine</t>
  </si>
  <si>
    <t xml:space="preserve">ton (MT)</t>
  </si>
  <si>
    <t xml:space="preserve">≥0; die limit</t>
  </si>
  <si>
    <t xml:space="preserve">Draw force monitoring; die-limit; maintenance</t>
  </si>
  <si>
    <t xml:space="preserve">Process Monitoring / Maintenance</t>
  </si>
  <si>
    <t xml:space="preserve">S7 / Modbus TCP / PPI (per bench)</t>
  </si>
  <si>
    <t xml:space="preserve">Snap7 / Modbus TCP / OPC UA (Exor) / PPI gateway</t>
  </si>
  <si>
    <t xml:space="preserve">DB-05/07 (S7-200 SMART, Ethernet) easiest. DB-02/03/04 PPI serial (G-05).</t>
  </si>
  <si>
    <t xml:space="preserve">Motion</t>
  </si>
  <si>
    <t xml:space="preserve">trolley speed / position</t>
  </si>
  <si>
    <t xml:space="preserve">draw_trolley</t>
  </si>
  <si>
    <t xml:space="preserve">Draw trolley speed &amp; position</t>
  </si>
  <si>
    <t xml:space="preserve">m/min · mm</t>
  </si>
  <si>
    <t xml:space="preserve">Cycle / motion control</t>
  </si>
  <si>
    <t xml:space="preserve">chain speed</t>
  </si>
  <si>
    <t xml:space="preserve">draw_chain_speed</t>
  </si>
  <si>
    <t xml:space="preserve">Draw chain speed</t>
  </si>
  <si>
    <t xml:space="preserve">m/min</t>
  </si>
  <si>
    <t xml:space="preserve">Cycle control</t>
  </si>
  <si>
    <t xml:space="preserve">pipe count</t>
  </si>
  <si>
    <t xml:space="preserve">draw_pipe_count</t>
  </si>
  <si>
    <t xml:space="preserve">Pieces drawn (auto/manual)</t>
  </si>
  <si>
    <t xml:space="preserve">Production count per bench / pass</t>
  </si>
  <si>
    <t xml:space="preserve">AUTO if bench PLC wired; else manual.</t>
  </si>
  <si>
    <t xml:space="preserve">Cycle</t>
  </si>
  <si>
    <t xml:space="preserve">cycle time</t>
  </si>
  <si>
    <t xml:space="preserve">draw_cycle_time</t>
  </si>
  <si>
    <t xml:space="preserve">Draw cycle time</t>
  </si>
  <si>
    <t xml:space="preserve">s</t>
  </si>
  <si>
    <t xml:space="preserve">Performance / OEE</t>
  </si>
  <si>
    <t xml:space="preserve">Per cycle</t>
  </si>
  <si>
    <t xml:space="preserve">Derived from trolley/chain motion timestamps.</t>
  </si>
  <si>
    <t xml:space="preserve">accepted / rejected qty</t>
  </si>
  <si>
    <t xml:space="preserve">draw_accepted_rejected</t>
  </si>
  <si>
    <t xml:space="preserve">Accepted &amp; rejected pieces (Nos/MT)</t>
  </si>
  <si>
    <t xml:space="preserve">Production / Quality</t>
  </si>
  <si>
    <t xml:space="preserve">pcs / MT</t>
  </si>
  <si>
    <t xml:space="preserve">Yield per pass; production</t>
  </si>
  <si>
    <t xml:space="preserve">Per lot/pass</t>
  </si>
  <si>
    <t xml:space="preserve">GLI-FT-PRD-DRW-01. Multi-pass (1st/2nd/3rd).</t>
  </si>
  <si>
    <t xml:space="preserve">FROM / TO size (OD/ID/TH/LEN)</t>
  </si>
  <si>
    <t xml:space="preserve">draw_from_to_size</t>
  </si>
  <si>
    <t xml:space="preserve">Incoming vs drawn dimensions (1st-off)</t>
  </si>
  <si>
    <t xml:space="preserve">Draw dimensional QA / pass control</t>
  </si>
  <si>
    <t xml:space="preserve">Operator measure; 1st-off / last-off.</t>
  </si>
  <si>
    <t xml:space="preserve">drawn meter</t>
  </si>
  <si>
    <t xml:space="preserve">draw_drawn_meter</t>
  </si>
  <si>
    <t xml:space="preserve">Total drawn length</t>
  </si>
  <si>
    <t xml:space="preserve">m</t>
  </si>
  <si>
    <t xml:space="preserve">Throughput</t>
  </si>
  <si>
    <t xml:space="preserve">AUTO if bench PLC wired.</t>
  </si>
  <si>
    <t xml:space="preserve">Swaging</t>
  </si>
  <si>
    <t xml:space="preserve">swage-end length</t>
  </si>
  <si>
    <t xml:space="preserve">swg_tag_len</t>
  </si>
  <si>
    <t xml:space="preserve">Total tag length &amp; length after die</t>
  </si>
  <si>
    <t xml:space="preserve">10/20T=80±10; 40/80T=100±10; 120T=120±10; LDP 190-225</t>
  </si>
  <si>
    <t xml:space="preserve">Draw-end prep compliance (by tonnage)</t>
  </si>
  <si>
    <t xml:space="preserve">GLI-FT-PRD-SWG-01/02.</t>
  </si>
  <si>
    <t xml:space="preserve">Tooling</t>
  </si>
  <si>
    <t xml:space="preserve">die &amp; plug issue / history</t>
  </si>
  <si>
    <t xml:space="preserve">db_tooling</t>
  </si>
  <si>
    <t xml:space="preserve">Die/plug code, condition, OD at 1st-off, tubes produced</t>
  </si>
  <si>
    <t xml:space="preserve">Die/plug tooling life &amp; condition</t>
  </si>
  <si>
    <t xml:space="preserve">Per issue/use</t>
  </si>
  <si>
    <t xml:space="preserve">DRW-03 history / DRW-08 issue slip. Polish 220 grit / D3.</t>
  </si>
  <si>
    <t xml:space="preserve">draw plan (FG OD/ID/THK/len, STP type, qty)</t>
  </si>
  <si>
    <t xml:space="preserve">draw_plan</t>
  </si>
  <si>
    <t xml:space="preserve">PPC draw plan targets &amp; route (SOAP/OIL)</t>
  </si>
  <si>
    <t xml:space="preserve">SOAP / OIL</t>
  </si>
  <si>
    <t xml:space="preserve">Final product targets; route selection</t>
  </si>
  <si>
    <t xml:space="preserve">A-59 = SOAP route. Client confirm.</t>
  </si>
  <si>
    <t xml:space="preserve">  14 Finishing   ·   A-59 M1 PLC / SCADA Tag Mapping</t>
  </si>
  <si>
    <t xml:space="preserve">14 Finishing</t>
  </si>
  <si>
    <t xml:space="preserve">Straightening</t>
  </si>
  <si>
    <t xml:space="preserve">Straightening, cutting/chamfering, bundling, dispatch</t>
  </si>
  <si>
    <t xml:space="preserve">A59-FIN</t>
  </si>
  <si>
    <t xml:space="preserve">straightening production</t>
  </si>
  <si>
    <t xml:space="preserve">fin_straighten</t>
  </si>
  <si>
    <t xml:space="preserve">Straightened tube production record</t>
  </si>
  <si>
    <t xml:space="preserve">Finishing production</t>
  </si>
  <si>
    <t xml:space="preserve">FINISH-FT-01A. No line controller.</t>
  </si>
  <si>
    <t xml:space="preserve">Cutting</t>
  </si>
  <si>
    <t xml:space="preserve">cutting + chamfering inspection</t>
  </si>
  <si>
    <t xml:space="preserve">fin_cutting</t>
  </si>
  <si>
    <t xml:space="preserve">Long-length cutting &amp; chamfering inspection</t>
  </si>
  <si>
    <t xml:space="preserve">Quality / Production</t>
  </si>
  <si>
    <t xml:space="preserve">Cut-to-length QA</t>
  </si>
  <si>
    <t xml:space="preserve">Hourly / per lot</t>
  </si>
  <si>
    <t xml:space="preserve">FINISH-01/02 + QA-06A.</t>
  </si>
  <si>
    <t xml:space="preserve">final OD / length</t>
  </si>
  <si>
    <t xml:space="preserve">fin_final_dims</t>
  </si>
  <si>
    <t xml:space="preserve">Final finished OD &amp; length</t>
  </si>
  <si>
    <t xml:space="preserve">Final acceptance</t>
  </si>
  <si>
    <t xml:space="preserve">Per bundle/sample</t>
  </si>
  <si>
    <t xml:space="preserve">Bundle</t>
  </si>
  <si>
    <t xml:space="preserve">bundle no / qty / weight / length</t>
  </si>
  <si>
    <t xml:space="preserve">bundle_record</t>
  </si>
  <si>
    <t xml:space="preserve">Bundle number, quantity, weight, actual length</t>
  </si>
  <si>
    <t xml:space="preserve">Production / Traceability</t>
  </si>
  <si>
    <t xml:space="preserve">Downstream genealogy &amp; dispatch accounting</t>
  </si>
  <si>
    <t xml:space="preserve">Route card + printed QR label.</t>
  </si>
  <si>
    <t xml:space="preserve">pack / dispatch status</t>
  </si>
  <si>
    <t xml:space="preserve">fin_pack_status</t>
  </si>
  <si>
    <t xml:space="preserve">Packing / dispatch status</t>
  </si>
  <si>
    <t xml:space="preserve">Packed / Dispatched</t>
  </si>
  <si>
    <t xml:space="preserve">Dispatch state</t>
  </si>
  <si>
    <t xml:space="preserve">  99 Derived M1 KPIs   ·   A-59 M1 PLC / SCADA Tag Mapping</t>
  </si>
  <si>
    <t xml:space="preserve">99 Derived M1 KPIs</t>
  </si>
  <si>
    <t xml:space="preserve">Zedral M1 canonical data layer (computed)</t>
  </si>
  <si>
    <t xml:space="preserve">M1-DERV</t>
  </si>
  <si>
    <t xml:space="preserve">— (Zedral M1 compute)</t>
  </si>
  <si>
    <t xml:space="preserve">Zedral canonical DB</t>
  </si>
  <si>
    <t xml:space="preserve">Derived (M1)</t>
  </si>
  <si>
    <t xml:space="preserve">production_ton</t>
  </si>
  <si>
    <t xml:space="preserve">Tube produced per hour/shift</t>
  </si>
  <si>
    <t xml:space="preserve">Production KPI</t>
  </si>
  <si>
    <t xml:space="preserve">Hourly / shift</t>
  </si>
  <si>
    <t xml:space="preserve">M1 derivation engine</t>
  </si>
  <si>
    <t xml:space="preserve">Σ length×mass from COC count / welder throughput.</t>
  </si>
  <si>
    <t xml:space="preserve">specific_energy</t>
  </si>
  <si>
    <t xml:space="preserve">Specific energy consumption</t>
  </si>
  <si>
    <t xml:space="preserve">kWh/t</t>
  </si>
  <si>
    <t xml:space="preserve">Energy efficiency KPI</t>
  </si>
  <si>
    <t xml:space="preserve">energy_kwh ÷ production_ton.</t>
  </si>
  <si>
    <t xml:space="preserve">weld_power_variance</t>
  </si>
  <si>
    <t xml:space="preserve">Actual vs stored weld-power deviation</t>
  </si>
  <si>
    <t xml:space="preserve">Quality / Process</t>
  </si>
  <si>
    <t xml:space="preserve">kW / %</t>
  </si>
  <si>
    <t xml:space="preserve">Weld compliance / alarm</t>
  </si>
  <si>
    <t xml:space="preserve">Quality Analytics / Process Monitoring</t>
  </si>
  <si>
    <t xml:space="preserve">Weld-band breach</t>
  </si>
  <si>
    <t xml:space="preserve">POWER kW - KW STORED VALUE, within ±offset.</t>
  </si>
  <si>
    <t xml:space="preserve">Performance</t>
  </si>
  <si>
    <t xml:space="preserve">speed_utilisation</t>
  </si>
  <si>
    <t xml:space="preserve">Actual vs OCP speed window</t>
  </si>
  <si>
    <t xml:space="preserve">Performance KPI</t>
  </si>
  <si>
    <t xml:space="preserve">1 s → shift</t>
  </si>
  <si>
    <t xml:space="preserve">SPEED mpm ÷ OCP speed max.</t>
  </si>
  <si>
    <t xml:space="preserve">line_downtime</t>
  </si>
  <si>
    <t xml:space="preserve">Reason-coded stoppage duration</t>
  </si>
  <si>
    <t xml:space="preserve">Downtime / OEE KPI</t>
  </si>
  <si>
    <t xml:space="preserve">Per event</t>
  </si>
  <si>
    <t xml:space="preserve">Stoppage code</t>
  </si>
  <si>
    <t xml:space="preserve">TM-FT-03 code (TBC)</t>
  </si>
  <si>
    <t xml:space="preserve">State/MESSAGE transitions + operator reason (PWA). Needs code master (Gap R-1/O-1).</t>
  </si>
  <si>
    <t xml:space="preserve">rejection_rate</t>
  </si>
  <si>
    <t xml:space="preserve">Rejected ÷ produced</t>
  </si>
  <si>
    <t xml:space="preserve">Quality KPI</t>
  </si>
  <si>
    <t xml:space="preserve">COC reject ÷ produced.</t>
  </si>
  <si>
    <t xml:space="preserve">oee</t>
  </si>
  <si>
    <t xml:space="preserve">Overall Equipment Effectiveness</t>
  </si>
  <si>
    <t xml:space="preserve">Headline performance KPI</t>
  </si>
  <si>
    <t xml:space="preserve">Availability × Performance × Quality. Requires downtime + counts confirmed.</t>
  </si>
  <si>
    <t xml:space="preserve">  PLC / SCADA ARCHITECTURE — Process → Machine → PLC → Network → SCADA → Historian → Protocol → M1  (17 machine lines · 20 controllers)</t>
  </si>
  <si>
    <t xml:space="preserve">PLC / Controller</t>
  </si>
  <si>
    <t xml:space="preserve">Model / Order no.</t>
  </si>
  <si>
    <t xml:space="preserve">Network</t>
  </si>
  <si>
    <t xml:space="preserve">Historian</t>
  </si>
  <si>
    <t xml:space="preserve">How M1 reads it</t>
  </si>
  <si>
    <t xml:space="preserve">Tool / driver</t>
  </si>
  <si>
    <t xml:space="preserve">How easy</t>
  </si>
  <si>
    <t xml:space="preserve">Connected?</t>
  </si>
  <si>
    <t xml:space="preserve">Main data it gives</t>
  </si>
  <si>
    <t xml:space="preserve">HR coil pickling line</t>
  </si>
  <si>
    <t xml:space="preserve">ABB AC500</t>
  </si>
  <si>
    <t xml:space="preserve">PM573</t>
  </si>
  <si>
    <t xml:space="preserve">Ethernet · 10.0.0.x (TBC)</t>
  </si>
  <si>
    <t xml:space="preserve">Easy</t>
  </si>
  <si>
    <t xml:space="preserve">Not connected</t>
  </si>
  <si>
    <t xml:space="preserve">Line speed, acid/rinse/dryer temps, pump state, strip thk</t>
  </si>
  <si>
    <t xml:space="preserve">Slitter / recoiler</t>
  </si>
  <si>
    <t xml:space="preserve">PM583</t>
  </si>
  <si>
    <t xml:space="preserve">Ethernet · SCALANCE · 10.0.0.x</t>
  </si>
  <si>
    <t xml:space="preserve">Connected (survey)</t>
  </si>
  <si>
    <t xml:space="preserve">Line MPM, recoiler dia, tension, coil weight, drive currents</t>
  </si>
  <si>
    <t xml:space="preserve">Schneider Twido</t>
  </si>
  <si>
    <t xml:space="preserve">TM221CE40R</t>
  </si>
  <si>
    <t xml:space="preserve">Serial / Ethernet (confirm)</t>
  </si>
  <si>
    <t xml:space="preserve">Modbus RTU/TCP</t>
  </si>
  <si>
    <t xml:space="preserve">Modbus driver (± gateway)</t>
  </si>
  <si>
    <t xml:space="preserve">Medium</t>
  </si>
  <si>
    <t xml:space="preserve">Confirm comms port</t>
  </si>
  <si>
    <t xml:space="preserve">Uncoiler drive / tension</t>
  </si>
  <si>
    <t xml:space="preserve">Tube Mill (forming main)</t>
  </si>
  <si>
    <t xml:space="preserve">Siemens S7-1500 + ET200SP</t>
  </si>
  <si>
    <t xml:space="preserve">1510SP-class + SINAMICS S120/G120</t>
  </si>
  <si>
    <t xml:space="preserve">PROFINET · SCALANCE · 192.168.2.x</t>
  </si>
  <si>
    <t xml:space="preserve">OPC UA / S7comm</t>
  </si>
  <si>
    <t xml:space="preserve">Easy-Medium</t>
  </si>
  <si>
    <t xml:space="preserve">Enable/licence OPC UA</t>
  </si>
  <si>
    <t xml:space="preserve">Mill speed, forming/finpass/sizing RPM &amp; current, counter</t>
  </si>
  <si>
    <t xml:space="preserve">TWDLCAA40DRF (×3)</t>
  </si>
  <si>
    <t xml:space="preserve">RS-232/485 serial · Win XP</t>
  </si>
  <si>
    <t xml:space="preserve">Modbus RTU (serial)</t>
  </si>
  <si>
    <t xml:space="preserve">Serial→Modbus TCP gateway (Moxa MGate)</t>
  </si>
  <si>
    <t xml:space="preserve">Hard</t>
  </si>
  <si>
    <t xml:space="preserve">Gateway + register map (TwidoSuite)</t>
  </si>
  <si>
    <t xml:space="preserve">Mill line-speed / roll / forming (legacy island)</t>
  </si>
  <si>
    <t xml:space="preserve">HF welder controller</t>
  </si>
  <si>
    <t xml:space="preserve">Allen-Bradley MicroLogix 1400</t>
  </si>
  <si>
    <t xml:space="preserve">1400 (confirm) + Thermatool Weld-Manager</t>
  </si>
  <si>
    <t xml:space="preserve">EtherNet/IP · behind KTP700 Basic</t>
  </si>
  <si>
    <t xml:space="preserve">Weld-Manager</t>
  </si>
  <si>
    <t xml:space="preserve">WinCC-style daily export</t>
  </si>
  <si>
    <t xml:space="preserve">pylogix / KEPServerEX; Weld-Manager CSV</t>
  </si>
  <si>
    <t xml:space="preserve">LIVE export proven (R3-R5)</t>
  </si>
  <si>
    <t xml:space="preserve">Weld kW set/actual, freq, V/I%, speed, OD, wall, VEE, MESSAGE, energy</t>
  </si>
  <si>
    <t xml:space="preserve">COC cut-off controller</t>
  </si>
  <si>
    <t xml:space="preserve">Beckhoff CX / IPC</t>
  </si>
  <si>
    <t xml:space="preserve">TwinCAT</t>
  </si>
  <si>
    <t xml:space="preserve">Ethernet · Monitouch HMI</t>
  </si>
  <si>
    <t xml:space="preserve">Enable OPC UA (OEM)</t>
  </si>
  <si>
    <t xml:space="preserve">Cut length set/actual, encoder, cutter cycle, produced/reject count</t>
  </si>
  <si>
    <t xml:space="preserve">Siemens SIMATIC S7-300</t>
  </si>
  <si>
    <t xml:space="preserve">CPU 315-2 PN/DP · 6ES7 315-2EH14-0AB0</t>
  </si>
  <si>
    <t xml:space="preserve">PROFINET</t>
  </si>
  <si>
    <t xml:space="preserve">WinCC historian</t>
  </si>
  <si>
    <t xml:space="preserve">S7comm (ISO-on-TCP, 102)</t>
  </si>
  <si>
    <t xml:space="preserve">Snap7 / KEPServerEX / SCADA OPC</t>
  </si>
  <si>
    <t xml:space="preserve">6 zone temps, cooling temps, gas flow, dew point, O2, line speed</t>
  </si>
  <si>
    <t xml:space="preserve">RHF-04</t>
  </si>
  <si>
    <t xml:space="preserve">S7comm (ISO-on-TCP)</t>
  </si>
  <si>
    <t xml:space="preserve">Snap7 / KEPServerEX</t>
  </si>
  <si>
    <t xml:space="preserve">Identical to RHF-03 (one connector pattern)</t>
  </si>
  <si>
    <t xml:space="preserve">RHF-05</t>
  </si>
  <si>
    <t xml:space="preserve">Siemens SIMATIC ET 200SP</t>
  </si>
  <si>
    <t xml:space="preserve">CPU 1510SP-1 PN · 6ES7 510-1DJ0x</t>
  </si>
  <si>
    <t xml:space="preserve">OPC UA (built-in) / S7comm</t>
  </si>
  <si>
    <t xml:space="preserve">OPC UA client (runtime licence)</t>
  </si>
  <si>
    <t xml:space="preserve">Zone temps, atmosphere, line speed</t>
  </si>
  <si>
    <t xml:space="preserve">Furnace SCADA / historian</t>
  </si>
  <si>
    <t xml:space="preserve">Siemens WinCC (Seco/Warwick)</t>
  </si>
  <si>
    <t xml:space="preserve">PC SCADA</t>
  </si>
  <si>
    <t xml:space="preserve">Ethernet</t>
  </si>
  <si>
    <t xml:space="preserve">OPC / historian read</t>
  </si>
  <si>
    <t xml:space="preserve">Historian OPC tap</t>
  </si>
  <si>
    <t xml:space="preserve">Present</t>
  </si>
  <si>
    <t xml:space="preserve">Fastest path — historian already logs zone temps</t>
  </si>
  <si>
    <t xml:space="preserve">N2-PSA / EXO gas plants</t>
  </si>
  <si>
    <t xml:space="preserve">Instruments / PLC (confirm)</t>
  </si>
  <si>
    <t xml:space="preserve">Modbus (if port) / manual</t>
  </si>
  <si>
    <t xml:space="preserve">Modbus retrofit or hourly log</t>
  </si>
  <si>
    <t xml:space="preserve">Log only</t>
  </si>
  <si>
    <t xml:space="preserve">Dew point, H2%, O2 ppm, pressures/flows</t>
  </si>
  <si>
    <t xml:space="preserve">STP line</t>
  </si>
  <si>
    <t xml:space="preserve">Siemens SIMATIC ET 200S (IM151 CPU)</t>
  </si>
  <si>
    <t xml:space="preserve">+ TP700 Comfort 6AV2 124-0GC01-0AX0</t>
  </si>
  <si>
    <t xml:space="preserve">S7comm / OPC UA (TP700)</t>
  </si>
  <si>
    <t xml:space="preserve">OPC UA (Comfort) / Snap7</t>
  </si>
  <si>
    <t xml:space="preserve">In progress (survey)</t>
  </si>
  <si>
    <t xml:space="preserve">Tank station, bath temps, dip timers, wagon/crane state, drive health</t>
  </si>
  <si>
    <t xml:space="preserve">DB-01</t>
  </si>
  <si>
    <t xml:space="preserve">Fatek FBs series</t>
  </si>
  <si>
    <t xml:space="preserve">(confirm)</t>
  </si>
  <si>
    <t xml:space="preserve">Serial (Ethernet if module)</t>
  </si>
  <si>
    <t xml:space="preserve">Pull load, cycle time, counts</t>
  </si>
  <si>
    <t xml:space="preserve">DB-02</t>
  </si>
  <si>
    <t xml:space="preserve">Siemens S7-200CN</t>
  </si>
  <si>
    <t xml:space="preserve">PPI / RS-485 serial (legacy)</t>
  </si>
  <si>
    <t xml:space="preserve">PPI / Modbus RTU / CP243-1</t>
  </si>
  <si>
    <t xml:space="preserve">KEPServerEX PPI / gateway</t>
  </si>
  <si>
    <t xml:space="preserve">Flagged connectable</t>
  </si>
  <si>
    <t xml:space="preserve">Counts, cycle, load</t>
  </si>
  <si>
    <t xml:space="preserve">DB-03</t>
  </si>
  <si>
    <t xml:space="preserve">PPI / RS-485 serial</t>
  </si>
  <si>
    <t xml:space="preserve">DB-04</t>
  </si>
  <si>
    <t xml:space="preserve">DB-05</t>
  </si>
  <si>
    <t xml:space="preserve">Siemens S7-200 SMART</t>
  </si>
  <si>
    <t xml:space="preserve">CPU ST40 · 6ES7 288-1ST40-0AA0</t>
  </si>
  <si>
    <t xml:space="preserve">Built-in Ethernet</t>
  </si>
  <si>
    <t xml:space="preserve">S7 (ISO-on-TCP) / Modbus TCP</t>
  </si>
  <si>
    <t xml:space="preserve">Snap7 / KEPServerEX / Modbus TCP</t>
  </si>
  <si>
    <t xml:space="preserve">Draw load, trolley/chain speed, counts, cycle</t>
  </si>
  <si>
    <t xml:space="preserve">DB-06</t>
  </si>
  <si>
    <t xml:space="preserve">Siemens ET 200S (IM151 CPU)</t>
  </si>
  <si>
    <t xml:space="preserve">+ KTP700 Basic 6AV2 123-2GB03-0AX0</t>
  </si>
  <si>
    <t xml:space="preserve">S7comm on CPU</t>
  </si>
  <si>
    <t xml:space="preserve">Draw load, counts</t>
  </si>
  <si>
    <t xml:space="preserve">DB-07</t>
  </si>
  <si>
    <t xml:space="preserve">EM DT08 6ES7 288-2DT08-0AA0 + Exor eSMART07M</t>
  </si>
  <si>
    <t xml:space="preserve">S7 / Modbus TCP / OPC UA (Exor)</t>
  </si>
  <si>
    <t xml:space="preserve">Snap7 / Modbus TCP / OPC UA</t>
  </si>
  <si>
    <t xml:space="preserve">Draw load, pull, cycle, counts</t>
  </si>
  <si>
    <t xml:space="preserve">UT + MPI NDT stations</t>
  </si>
  <si>
    <t xml:space="preserve">PC data-logging app</t>
  </si>
  <si>
    <t xml:space="preserve">PC app DB</t>
  </si>
  <si>
    <t xml:space="preserve">Confirm export path</t>
  </si>
  <si>
    <t xml:space="preserve">Wall-thickness scan, UT/ECT pass-fail, MPI result</t>
  </si>
  <si>
    <t xml:space="preserve">Networks: two isolated OT subnets 192.168.2.x (mill) and 10.0.0.x (HRPO/slitting). No IP addresses are recorded here — none were captured in the survey; obtain per controller (G-01/G-02). Read-only access; no new automation hardware to begin.</t>
  </si>
  <si>
    <t xml:space="preserve">  TAG DICTIONARY — every mapped data point (consolidated master register)</t>
  </si>
  <si>
    <t xml:space="preserve">Tag ID</t>
  </si>
  <si>
    <t xml:space="preserve">Keep History</t>
  </si>
  <si>
    <t xml:space="preserve">How Sure?</t>
  </si>
  <si>
    <t xml:space="preserve">Importance</t>
  </si>
  <si>
    <t xml:space="preserve">Notes</t>
  </si>
  <si>
    <t xml:space="preserve">TAG-001</t>
  </si>
  <si>
    <t xml:space="preserve">— (—)</t>
  </si>
  <si>
    <t xml:space="preserve">Yes - kept Raw 90 d; hourly rollup 3 y</t>
  </si>
  <si>
    <t xml:space="preserve">TAG-002</t>
  </si>
  <si>
    <t xml:space="preserve">TAG-003</t>
  </si>
  <si>
    <t xml:space="preserve">TAG-004</t>
  </si>
  <si>
    <t xml:space="preserve">TAG-005</t>
  </si>
  <si>
    <t xml:space="preserve">TAG-006</t>
  </si>
  <si>
    <t xml:space="preserve">TAG-007</t>
  </si>
  <si>
    <t xml:space="preserve">TAG-008</t>
  </si>
  <si>
    <t xml:space="preserve">TAG-009</t>
  </si>
  <si>
    <t xml:space="preserve">A59-HRPO-PLC (ABB)</t>
  </si>
  <si>
    <t xml:space="preserve">TAG-010</t>
  </si>
  <si>
    <t xml:space="preserve">TAG-011</t>
  </si>
  <si>
    <t xml:space="preserve">TAG-012</t>
  </si>
  <si>
    <t xml:space="preserve">TAG-013</t>
  </si>
  <si>
    <t xml:space="preserve">TAG-014</t>
  </si>
  <si>
    <t xml:space="preserve">TAG-015</t>
  </si>
  <si>
    <t xml:space="preserve">TAG-016</t>
  </si>
  <si>
    <t xml:space="preserve">TAG-017</t>
  </si>
  <si>
    <t xml:space="preserve">TAG-018</t>
  </si>
  <si>
    <t xml:space="preserve">TAG-019</t>
  </si>
  <si>
    <t xml:space="preserve">A59-SLT-PLC (ABB)</t>
  </si>
  <si>
    <t xml:space="preserve">TAG-020</t>
  </si>
  <si>
    <t xml:space="preserve">TAG-021</t>
  </si>
  <si>
    <t xml:space="preserve">TAG-022</t>
  </si>
  <si>
    <t xml:space="preserve">TAG-023</t>
  </si>
  <si>
    <t xml:space="preserve">TAG-024</t>
  </si>
  <si>
    <t xml:space="preserve">TAG-025</t>
  </si>
  <si>
    <t xml:space="preserve">TAG-026</t>
  </si>
  <si>
    <t xml:space="preserve">TAG-027</t>
  </si>
  <si>
    <t xml:space="preserve">TAG-028</t>
  </si>
  <si>
    <t xml:space="preserve">TAG-029</t>
  </si>
  <si>
    <t xml:space="preserve">TAG-030</t>
  </si>
  <si>
    <t xml:space="preserve">TAG-031</t>
  </si>
  <si>
    <t xml:space="preserve">TAG-032</t>
  </si>
  <si>
    <t xml:space="preserve">A59-ACC-PLC (To Confirm)</t>
  </si>
  <si>
    <t xml:space="preserve">TAG-033</t>
  </si>
  <si>
    <t xml:space="preserve">TAG-034</t>
  </si>
  <si>
    <t xml:space="preserve">TAG-035</t>
  </si>
  <si>
    <t xml:space="preserve">TAG-036</t>
  </si>
  <si>
    <t xml:space="preserve">TAG-037</t>
  </si>
  <si>
    <t xml:space="preserve">TM4-A59 mill PLC (Siemens)</t>
  </si>
  <si>
    <t xml:space="preserve">TAG-038</t>
  </si>
  <si>
    <t xml:space="preserve">TAG-039</t>
  </si>
  <si>
    <t xml:space="preserve">TAG-040</t>
  </si>
  <si>
    <t xml:space="preserve">TAG-041</t>
  </si>
  <si>
    <t xml:space="preserve">TAG-042</t>
  </si>
  <si>
    <t xml:space="preserve">TAG-043</t>
  </si>
  <si>
    <t xml:space="preserve">TAG-044</t>
  </si>
  <si>
    <t xml:space="preserve">TAG-045</t>
  </si>
  <si>
    <t xml:space="preserve">TAG-046</t>
  </si>
  <si>
    <t xml:space="preserve">TAG-047</t>
  </si>
  <si>
    <t xml:space="preserve">Mill drive PLC ×3 (Schneider)</t>
  </si>
  <si>
    <t xml:space="preserve">TAG-048</t>
  </si>
  <si>
    <t xml:space="preserve">TAG-049</t>
  </si>
  <si>
    <t xml:space="preserve">TAG-050</t>
  </si>
  <si>
    <t xml:space="preserve">TAG-051</t>
  </si>
  <si>
    <t xml:space="preserve">TAG-052</t>
  </si>
  <si>
    <t xml:space="preserve">A59-HFW-PLC (Allen-Bradley)</t>
  </si>
  <si>
    <t xml:space="preserve">TAG-053</t>
  </si>
  <si>
    <t xml:space="preserve">TAG-054</t>
  </si>
  <si>
    <t xml:space="preserve">TAG-055</t>
  </si>
  <si>
    <t xml:space="preserve">TAG-056</t>
  </si>
  <si>
    <t xml:space="preserve">TAG-057</t>
  </si>
  <si>
    <t xml:space="preserve">TAG-058</t>
  </si>
  <si>
    <t xml:space="preserve">TAG-059</t>
  </si>
  <si>
    <t xml:space="preserve">TAG-060</t>
  </si>
  <si>
    <t xml:space="preserve">TAG-061</t>
  </si>
  <si>
    <t xml:space="preserve">TAG-062</t>
  </si>
  <si>
    <t xml:space="preserve">TAG-063</t>
  </si>
  <si>
    <t xml:space="preserve">TAG-064</t>
  </si>
  <si>
    <t xml:space="preserve">TAG-065</t>
  </si>
  <si>
    <t xml:space="preserve">TAG-066</t>
  </si>
  <si>
    <t xml:space="preserve">TAG-067</t>
  </si>
  <si>
    <t xml:space="preserve">TAG-068</t>
  </si>
  <si>
    <t xml:space="preserve">TAG-069</t>
  </si>
  <si>
    <t xml:space="preserve">TAG-070</t>
  </si>
  <si>
    <t xml:space="preserve">TAG-071</t>
  </si>
  <si>
    <t xml:space="preserve">TAG-072</t>
  </si>
  <si>
    <t xml:space="preserve">TAG-073</t>
  </si>
  <si>
    <t xml:space="preserve">TAG-074</t>
  </si>
  <si>
    <t xml:space="preserve">TAG-075</t>
  </si>
  <si>
    <t xml:space="preserve">TAG-076</t>
  </si>
  <si>
    <t xml:space="preserve">TAG-077</t>
  </si>
  <si>
    <t xml:space="preserve">TAG-078</t>
  </si>
  <si>
    <t xml:space="preserve">A59-COC-PLC (Beckhoff)</t>
  </si>
  <si>
    <t xml:space="preserve">TAG-079</t>
  </si>
  <si>
    <t xml:space="preserve">TAG-080</t>
  </si>
  <si>
    <t xml:space="preserve">TAG-081</t>
  </si>
  <si>
    <t xml:space="preserve">TAG-082</t>
  </si>
  <si>
    <t xml:space="preserve">TAG-083</t>
  </si>
  <si>
    <t xml:space="preserve">TAG-084</t>
  </si>
  <si>
    <t xml:space="preserve">TAG-085</t>
  </si>
  <si>
    <t xml:space="preserve">NDT PC app (MS Enviro-tech)</t>
  </si>
  <si>
    <t xml:space="preserve">TAG-086</t>
  </si>
  <si>
    <t xml:space="preserve">TAG-087</t>
  </si>
  <si>
    <t xml:space="preserve">TAG-088</t>
  </si>
  <si>
    <t xml:space="preserve">TAG-089</t>
  </si>
  <si>
    <t xml:space="preserve">TAG-090</t>
  </si>
  <si>
    <t xml:space="preserve">TAG-091</t>
  </si>
  <si>
    <t xml:space="preserve">TAG-092</t>
  </si>
  <si>
    <t xml:space="preserve">TAG-093</t>
  </si>
  <si>
    <t xml:space="preserve">TAG-094</t>
  </si>
  <si>
    <t xml:space="preserve">TAG-095</t>
  </si>
  <si>
    <t xml:space="preserve">TAG-096</t>
  </si>
  <si>
    <t xml:space="preserve">RHF-03 (Siemens)</t>
  </si>
  <si>
    <t xml:space="preserve">TAG-097</t>
  </si>
  <si>
    <t xml:space="preserve">TAG-098</t>
  </si>
  <si>
    <t xml:space="preserve">TAG-099</t>
  </si>
  <si>
    <t xml:space="preserve">TAG-100</t>
  </si>
  <si>
    <t xml:space="preserve">TAG-101</t>
  </si>
  <si>
    <t xml:space="preserve">TAG-102</t>
  </si>
  <si>
    <t xml:space="preserve">TAG-103</t>
  </si>
  <si>
    <t xml:space="preserve">TAG-104</t>
  </si>
  <si>
    <t xml:space="preserve">TAG-105</t>
  </si>
  <si>
    <t xml:space="preserve">TAG-106</t>
  </si>
  <si>
    <t xml:space="preserve">TAG-107</t>
  </si>
  <si>
    <t xml:space="preserve">TAG-108</t>
  </si>
  <si>
    <t xml:space="preserve">Local (SELEC / instrument)</t>
  </si>
  <si>
    <t xml:space="preserve">TAG-109</t>
  </si>
  <si>
    <t xml:space="preserve">TAG-110</t>
  </si>
  <si>
    <t xml:space="preserve">TAG-111</t>
  </si>
  <si>
    <t xml:space="preserve">TAG-112</t>
  </si>
  <si>
    <t xml:space="preserve">A59-STP-PLC (Siemens)</t>
  </si>
  <si>
    <t xml:space="preserve">TAG-113</t>
  </si>
  <si>
    <t xml:space="preserve">TAG-114</t>
  </si>
  <si>
    <t xml:space="preserve">TAG-115</t>
  </si>
  <si>
    <t xml:space="preserve">TAG-116</t>
  </si>
  <si>
    <t xml:space="preserve">TAG-117</t>
  </si>
  <si>
    <t xml:space="preserve">TAG-118</t>
  </si>
  <si>
    <t xml:space="preserve">TAG-119</t>
  </si>
  <si>
    <t xml:space="preserve">TAG-120</t>
  </si>
  <si>
    <t xml:space="preserve">TAG-121</t>
  </si>
  <si>
    <t xml:space="preserve">TAG-122</t>
  </si>
  <si>
    <t xml:space="preserve">TAG-123</t>
  </si>
  <si>
    <t xml:space="preserve">TAG-124</t>
  </si>
  <si>
    <t xml:space="preserve">TAG-125</t>
  </si>
  <si>
    <t xml:space="preserve">DB-01…DB-07 (Mixed (see PLC_Architecture))</t>
  </si>
  <si>
    <t xml:space="preserve">TAG-126</t>
  </si>
  <si>
    <t xml:space="preserve">TAG-127</t>
  </si>
  <si>
    <t xml:space="preserve">TAG-128</t>
  </si>
  <si>
    <t xml:space="preserve">TAG-129</t>
  </si>
  <si>
    <t xml:space="preserve">TAG-130</t>
  </si>
  <si>
    <t xml:space="preserve">TAG-131</t>
  </si>
  <si>
    <t xml:space="preserve">TAG-132</t>
  </si>
  <si>
    <t xml:space="preserve">TAG-133</t>
  </si>
  <si>
    <t xml:space="preserve">TAG-134</t>
  </si>
  <si>
    <t xml:space="preserve">TAG-135</t>
  </si>
  <si>
    <t xml:space="preserve">TAG-136</t>
  </si>
  <si>
    <t xml:space="preserve">TAG-137</t>
  </si>
  <si>
    <t xml:space="preserve">TAG-138</t>
  </si>
  <si>
    <t xml:space="preserve">TAG-139</t>
  </si>
  <si>
    <t xml:space="preserve">TAG-140</t>
  </si>
  <si>
    <t xml:space="preserve">TAG-141</t>
  </si>
  <si>
    <t xml:space="preserve">TAG-142</t>
  </si>
  <si>
    <t xml:space="preserve">TAG-143</t>
  </si>
  <si>
    <t xml:space="preserve">TAG-144</t>
  </si>
  <si>
    <t xml:space="preserve">TAG-145</t>
  </si>
  <si>
    <t xml:space="preserve">TAG-146</t>
  </si>
  <si>
    <t xml:space="preserve">TAG-147</t>
  </si>
  <si>
    <t xml:space="preserve">  COVERAGE BY PROCESS - what we need, where it is, what we can read, and what's missing</t>
  </si>
  <si>
    <t xml:space="preserve">Machine / PLC(s)</t>
  </si>
  <si>
    <t xml:space="preserve">SCADA / screen</t>
  </si>
  <si>
    <t xml:space="preserve">Total data</t>
  </si>
  <si>
    <t xml:space="preserve">Ready now</t>
  </si>
  <si>
    <t xml:space="preserve">Need tag list</t>
  </si>
  <si>
    <t xml:space="preserve">Operator types</t>
  </si>
  <si>
    <t xml:space="preserve">M1 calculates</t>
  </si>
  <si>
    <t xml:space="preserve">Missing / check</t>
  </si>
  <si>
    <t xml:space="preserve">Reachable - need tag list</t>
  </si>
  <si>
    <t xml:space="preserve">Gap - needs checking</t>
  </si>
  <si>
    <t xml:space="preserve">Mill drive PLC ×3 , TM4-A59 mill PLC</t>
  </si>
  <si>
    <t xml:space="preserve">Hitech (Beijer) PWS panel / KTP/TP Basic + Hitech (Beijer) PWS</t>
  </si>
  <si>
    <t xml:space="preserve">Thermatool Weld-Manager / Siemens KTP700 Basic (6AV2 123-2GB03-0AX0)</t>
  </si>
  <si>
    <t xml:space="preserve">Good - data ready</t>
  </si>
  <si>
    <t xml:space="preserve">PC app / PC app UI</t>
  </si>
  <si>
    <t xml:space="preserve">Operator entry</t>
  </si>
  <si>
    <t xml:space="preserve">Local , RHF-03</t>
  </si>
  <si>
    <t xml:space="preserve">Seco/Warwick WinCC / Local display / Siemens HMI</t>
  </si>
  <si>
    <t xml:space="preserve">Siemens SCADA / TP700 Comfort (6AV2 124-0GC01-0AX0)</t>
  </si>
  <si>
    <t xml:space="preserve">TOTAL (14 stages)</t>
  </si>
  <si>
    <t xml:space="preserve">  GAPS - data we need but cannot get yet, and how to close each one</t>
  </si>
  <si>
    <t xml:space="preserve">Gap ID</t>
  </si>
  <si>
    <t xml:space="preserve">Process / area</t>
  </si>
  <si>
    <t xml:space="preserve">What's missing</t>
  </si>
  <si>
    <t xml:space="preserve">The problem</t>
  </si>
  <si>
    <t xml:space="preserve">Why it matters</t>
  </si>
  <si>
    <t xml:space="preserve">What to do</t>
  </si>
  <si>
    <t xml:space="preserve">Backup / quick option</t>
  </si>
  <si>
    <t xml:space="preserve">Who</t>
  </si>
  <si>
    <t xml:space="preserve">G-01</t>
  </si>
  <si>
    <t xml:space="preserve">Mill/Furnace/STP/COC/Draw</t>
  </si>
  <si>
    <t xml:space="preserve">PLC tag/register names</t>
  </si>
  <si>
    <t xml:space="preserve">Exact tags not yet captured (only controller models known)</t>
  </si>
  <si>
    <t xml:space="preserve">Cannot finalise mapping/scaling</t>
  </si>
  <si>
    <t xml:space="preserve">On-site engineering capture per cabinet (STEP7/TwidoSuite/etc.)</t>
  </si>
  <si>
    <t xml:space="preserve">PLC program files / DB address maps</t>
  </si>
  <si>
    <t xml:space="preserve">Zedral + Goodluck E&amp;I</t>
  </si>
  <si>
    <t xml:space="preserve">High</t>
  </si>
  <si>
    <t xml:space="preserve">Open</t>
  </si>
  <si>
    <t xml:space="preserve">G-02</t>
  </si>
  <si>
    <t xml:space="preserve">All OT</t>
  </si>
  <si>
    <t xml:space="preserve">Two isolated subnets (192.168.2.x, 10.0.0.x)</t>
  </si>
  <si>
    <t xml:space="preserve">No read-only path to on-prem server</t>
  </si>
  <si>
    <t xml:space="preserve">Blocks data collection</t>
  </si>
  <si>
    <t xml:space="preserve">Switch-port/VLAN plan + firewall read-only path</t>
  </si>
  <si>
    <t xml:space="preserve">Managed switch spare ports</t>
  </si>
  <si>
    <t xml:space="preserve">Goodluck IT / E&amp;I</t>
  </si>
  <si>
    <t xml:space="preserve">G-03</t>
  </si>
  <si>
    <t xml:space="preserve">Weld-Manager data interface</t>
  </si>
  <si>
    <t xml:space="preserve">Export path/API not confirmed for continuous read</t>
  </si>
  <si>
    <t xml:space="preserve">Risk to richest source continuity</t>
  </si>
  <si>
    <t xml:space="preserve">Confirm Thermatool Weld-Manager interface / export</t>
  </si>
  <si>
    <t xml:space="preserve">EtherNet/IP direct read of MicroLogix 1400</t>
  </si>
  <si>
    <t xml:space="preserve">Zedral + Welder OEM</t>
  </si>
  <si>
    <t xml:space="preserve">G-04</t>
  </si>
  <si>
    <t xml:space="preserve">04 Mill (Twido ×3)</t>
  </si>
  <si>
    <t xml:space="preserve">Legacy serial on Win XP</t>
  </si>
  <si>
    <t xml:space="preserve">No Ethernet; needs gateway + register map</t>
  </si>
  <si>
    <t xml:space="preserve">Mill speed/roll data delayed</t>
  </si>
  <si>
    <t xml:space="preserve">Serial→Modbus TCP gateway + TwidoSuite map</t>
  </si>
  <si>
    <t xml:space="preserve">Welder SPEED mpm (interim) / S7-1500 if it holds data</t>
  </si>
  <si>
    <t xml:space="preserve">Zedral + integrator</t>
  </si>
  <si>
    <t xml:space="preserve">G-05</t>
  </si>
  <si>
    <t xml:space="preserve">13 Draw DB-02/03/04</t>
  </si>
  <si>
    <t xml:space="preserve">S7-200CN PPI serial (legacy)</t>
  </si>
  <si>
    <t xml:space="preserve">No native Ethernet</t>
  </si>
  <si>
    <t xml:space="preserve">Draw data delayed</t>
  </si>
  <si>
    <t xml:space="preserve">PPI→Ethernet gateway or CP243-1 module</t>
  </si>
  <si>
    <t xml:space="preserve">DB-05/06/07 first (Ethernet-native)</t>
  </si>
  <si>
    <t xml:space="preserve">G-06</t>
  </si>
  <si>
    <t xml:space="preserve">09 Quality (UT/MPI)</t>
  </si>
  <si>
    <t xml:space="preserve">NDT PC-app data access</t>
  </si>
  <si>
    <t xml:space="preserve">Export file/DB interface unconfirmed</t>
  </si>
  <si>
    <t xml:space="preserve">Quality connector undefined</t>
  </si>
  <si>
    <t xml:space="preserve">Confirm U-WAVEPAK &amp; MPI export</t>
  </si>
  <si>
    <t xml:space="preserve">Operator PWA capture of pass/fail (interim)</t>
  </si>
  <si>
    <t xml:space="preserve">Zedral + QA</t>
  </si>
  <si>
    <t xml:space="preserve">G-07</t>
  </si>
  <si>
    <t xml:space="preserve">03 Accumulator / 07 Turk Head / 10 End Facing</t>
  </si>
  <si>
    <t xml:space="preserve">Signals not confirmed exposed</t>
  </si>
  <si>
    <t xml:space="preserve">May lack networked controller/tags</t>
  </si>
  <si>
    <t xml:space="preserve">Coverage gaps in ERW flow</t>
  </si>
  <si>
    <t xml:space="preserve">Confirm controller &amp; signals on site</t>
  </si>
  <si>
    <t xml:space="preserve">Operator PWA / infer from adjacent stages</t>
  </si>
  <si>
    <t xml:space="preserve">Goodluck E&amp;I</t>
  </si>
  <si>
    <t xml:space="preserve">G-08</t>
  </si>
  <si>
    <t xml:space="preserve">04 Mill / 12 STP</t>
  </si>
  <si>
    <t xml:space="preserve">Handwritten setup &amp; bath values</t>
  </si>
  <si>
    <t xml:space="preserve">Approximate; weld-roll dia inconsistent, coolant 1.5% vs OCP</t>
  </si>
  <si>
    <t xml:space="preserve">Wrong setpoints if trusted</t>
  </si>
  <si>
    <t xml:space="preserve">Validate with process owner; capture via PWA</t>
  </si>
  <si>
    <t xml:space="preserve">PWA structured capture with band-check</t>
  </si>
  <si>
    <t xml:space="preserve">Goodluck Process</t>
  </si>
  <si>
    <t xml:space="preserve">G-09</t>
  </si>
  <si>
    <t xml:space="preserve">05 Energy</t>
  </si>
  <si>
    <t xml:space="preserve">Electricity tariff</t>
  </si>
  <si>
    <t xml:space="preserve">Cost = kWh×tariff; tariff not confirmed (≈8 INR/kWh implied)</t>
  </si>
  <si>
    <t xml:space="preserve">Cost KPI provisional</t>
  </si>
  <si>
    <t xml:space="preserve">Confirm tariff / time-of-day rate</t>
  </si>
  <si>
    <t xml:space="preserve">Client finance input</t>
  </si>
  <si>
    <t xml:space="preserve">Goodluck Finance</t>
  </si>
  <si>
    <t xml:space="preserve">Low</t>
  </si>
  <si>
    <t xml:space="preserve">Client confirm</t>
  </si>
  <si>
    <t xml:space="preserve">G-10</t>
  </si>
  <si>
    <t xml:space="preserve">04 Mill Planning</t>
  </si>
  <si>
    <t xml:space="preserve">OCP revision &amp; recipe ID</t>
  </si>
  <si>
    <t xml:space="preserve">Current production recipe not captured live</t>
  </si>
  <si>
    <t xml:space="preserve">Recipe compliance unverifiable</t>
  </si>
  <si>
    <t xml:space="preserve">Capture live OCP revision / recipe ID</t>
  </si>
  <si>
    <t xml:space="preserve">Weld-Manager recipe tag</t>
  </si>
  <si>
    <t xml:space="preserve">Goodluck PPC</t>
  </si>
  <si>
    <t xml:space="preserve">G-11</t>
  </si>
  <si>
    <t xml:space="preserve">11 Furnace / 12 STP</t>
  </si>
  <si>
    <t xml:space="preserve">Standalone SELEC/instrument meters</t>
  </si>
  <si>
    <t xml:space="preserve">Some temps/counts not networked</t>
  </si>
  <si>
    <t xml:space="preserve">Some temps/counts not digital</t>
  </si>
  <si>
    <t xml:space="preserve">Modbus retrofit where port exists; else vision/mirror</t>
  </si>
  <si>
    <t xml:space="preserve">OPC via SCADA where already logged</t>
  </si>
  <si>
    <t xml:space="preserve">Zedral</t>
  </si>
  <si>
    <t xml:space="preserve">G-12</t>
  </si>
  <si>
    <t xml:space="preserve">D365 BC read APIs</t>
  </si>
  <si>
    <t xml:space="preserve">Order/production endpoints not confirmed</t>
  </si>
  <si>
    <t xml:space="preserve">Planned context (WO/customer/grade) missing</t>
  </si>
  <si>
    <t xml:space="preserve">Confirm &amp; test BC read APIs</t>
  </si>
  <si>
    <t xml:space="preserve">Manual WO entry (interim)</t>
  </si>
  <si>
    <t xml:space="preserve">Goodluck IT</t>
  </si>
  <si>
    <t xml:space="preserve">G-13</t>
  </si>
  <si>
    <t xml:space="preserve">No line controller</t>
  </si>
  <si>
    <t xml:space="preserve">Only operator/route-card data</t>
  </si>
  <si>
    <t xml:space="preserve">End-of-line actuals manual</t>
  </si>
  <si>
    <t xml:space="preserve">Operator PWA + QR bundle scan</t>
  </si>
  <si>
    <t xml:space="preserve">QR bundle label scan</t>
  </si>
  <si>
    <t xml:space="preserve">Zedral + Goodluck</t>
  </si>
  <si>
    <t xml:space="preserve">G-14</t>
  </si>
  <si>
    <t xml:space="preserve">12 STP / 09 QA</t>
  </si>
  <si>
    <t xml:space="preserve">Duplicate parameter names across sheets</t>
  </si>
  <si>
    <t xml:space="preserve">Same value under different names</t>
  </si>
  <si>
    <t xml:space="preserve">Ambiguity / mismatch</t>
  </si>
  <si>
    <t xml:space="preserve">Adopt standard field names (Tag Dictionary)</t>
  </si>
  <si>
    <t xml:space="preserve">Canonical Variable Name in this workbook</t>
  </si>
  <si>
    <t xml:space="preserve">G-15</t>
  </si>
  <si>
    <t xml:space="preserve">SCADA daily e-mail</t>
  </si>
  <si>
    <t xml:space="preserve">'10 a.m. daily e-mail' source</t>
  </si>
  <si>
    <t xml:space="preserve">Generator/folder/format unknown</t>
  </si>
  <si>
    <t xml:space="preserve">Quick-win source unconfirmed</t>
  </si>
  <si>
    <t xml:space="preserve">Confirm what generates it, path, format, access</t>
  </si>
  <si>
    <t xml:space="preserve">WinCC report / script task</t>
  </si>
  <si>
    <t xml:space="preserve">Goodluck EH</t>
  </si>
  <si>
    <t xml:space="preserve">G-16</t>
  </si>
  <si>
    <t xml:space="preserve">Access / security</t>
  </si>
  <si>
    <t xml:space="preserve">SCADA PC admin, WinCC/SQL login, welder HMI OEM password</t>
  </si>
  <si>
    <t xml:space="preserve">Access not yet granted</t>
  </si>
  <si>
    <t xml:space="preserve">Blocks reads/exports</t>
  </si>
  <si>
    <t xml:space="preserve">Obtain read logins; welder HMI OEM-locked</t>
  </si>
  <si>
    <t xml:space="preserve">OEM support engagement</t>
  </si>
  <si>
    <t xml:space="preserve">Goodluck EH + OEM</t>
  </si>
  <si>
    <t xml:space="preserve">G-17</t>
  </si>
  <si>
    <t xml:space="preserve">Downtime reason not from PLC</t>
  </si>
  <si>
    <t xml:space="preserve">Reason not directly available from any controller</t>
  </si>
  <si>
    <t xml:space="preserve">OEE availability incomplete</t>
  </si>
  <si>
    <t xml:space="preserve">Operator PWA reason coding + TM-FT-03 code master</t>
  </si>
  <si>
    <t xml:space="preserve">Derived from welder MESSAGE + operator classification</t>
  </si>
  <si>
    <t xml:space="preserve">Zedral + Goodluck Ops</t>
  </si>
  <si>
    <t xml:space="preserve">G-18</t>
  </si>
  <si>
    <t xml:space="preserve">Production order number</t>
  </si>
  <si>
    <t xml:space="preserve">WO number originates in ERP, not on PLC</t>
  </si>
  <si>
    <t xml:space="preserve">Cannot attribute machine data to order without join</t>
  </si>
  <si>
    <t xml:space="preserve">D365 BC integration + route-card/QR scan</t>
  </si>
  <si>
    <t xml:space="preserve">Route card + QR label scan (interim)</t>
  </si>
  <si>
    <t xml:space="preserve">Goodluck IT + Zedral</t>
  </si>
  <si>
    <t xml:space="preserve">G-19</t>
  </si>
  <si>
    <t xml:space="preserve">All OEE</t>
  </si>
  <si>
    <t xml:space="preserve">Stoppage reason-code master</t>
  </si>
  <si>
    <t xml:space="preserve">TM-FT-03 codes not yet provided</t>
  </si>
  <si>
    <t xml:space="preserve">Cannot map downtime to OEE loss buckets</t>
  </si>
  <si>
    <t xml:space="preserve">Seed stoppage_code master from TM-FT-03</t>
  </si>
  <si>
    <t xml:space="preserve">Zedral OPN/ELECT/MECH/UTILITY/POWER/PLANNED taxonomy</t>
  </si>
  <si>
    <t xml:space="preserve">Goodluck Ops</t>
  </si>
  <si>
    <t xml:space="preserve">HOW IT ALL CONNECTS - order info (ERP) + machine data come together in M1</t>
  </si>
  <si>
    <t xml:space="preserve">The ERP knows the order; the machines know what is happening. M1 joins them, then feeds the dashboards and reports.</t>
  </si>
  <si>
    <t xml:space="preserve">ERP: Production Order → Material → Planned Qty → Routing</t>
  </si>
  <si>
    <t xml:space="preserve">↓</t>
  </si>
  <si>
    <t xml:space="preserve">M1 JOIN: Order + Machine + Shift + Operator</t>
  </si>
  <si>
    <t xml:space="preserve">PLC/SCADA: Machine Status → Process Params → Production Counter → Fault/Alarm</t>
  </si>
  <si>
    <t xml:space="preserve">M1 DATA LAYER: Downtime · Quality signals (canonical DB)</t>
  </si>
  <si>
    <t xml:space="preserve">APPLICATIONS: Production Monitoring · OEE · Downtime · Process · Quality · Maintenance · Energy · Dashboards</t>
  </si>
  <si>
    <t xml:space="preserve">Layer</t>
  </si>
  <si>
    <t xml:space="preserve">What</t>
  </si>
  <si>
    <t xml:space="preserve">Zedral field</t>
  </si>
  <si>
    <t xml:space="preserve">Why M1 uses it</t>
  </si>
  <si>
    <t xml:space="preserve">How we get it</t>
  </si>
  <si>
    <t xml:space="preserve">Notes / what is needed</t>
  </si>
  <si>
    <t xml:space="preserve">ERP (Dynamics 365 BC)</t>
  </si>
  <si>
    <t xml:space="preserve">Production order</t>
  </si>
  <si>
    <t xml:space="preserve">Order master → M1 context</t>
  </si>
  <si>
    <t xml:space="preserve">Read (OData/REST)</t>
  </si>
  <si>
    <t xml:space="preserve">Primary join key; confirm read API (G-12/G-18)</t>
  </si>
  <si>
    <t xml:space="preserve">Material / grade</t>
  </si>
  <si>
    <t xml:space="preserve">grade_code</t>
  </si>
  <si>
    <t xml:space="preserve">Selects OCP &amp; heat-treat recipe</t>
  </si>
  <si>
    <t xml:space="preserve">Read</t>
  </si>
  <si>
    <t xml:space="preserve">Grade colour-code board cross-check</t>
  </si>
  <si>
    <t xml:space="preserve">Planned quantity</t>
  </si>
  <si>
    <t xml:space="preserve">planned_qty / planned_mt</t>
  </si>
  <si>
    <t xml:space="preserve">Yield &amp; attainment denominator</t>
  </si>
  <si>
    <t xml:space="preserve">Routing / operation</t>
  </si>
  <si>
    <t xml:space="preserve">route_ref</t>
  </si>
  <si>
    <t xml:space="preserve">Genealogy across stages</t>
  </si>
  <si>
    <t xml:space="preserve">Route card mirrors this</t>
  </si>
  <si>
    <t xml:space="preserve">M1 join layer</t>
  </si>
  <si>
    <t xml:space="preserve">Order + Machine + Shift + Operator</t>
  </si>
  <si>
    <t xml:space="preserve">run/lot header</t>
  </si>
  <si>
    <t xml:space="preserve">Binds ERP order to machine data</t>
  </si>
  <si>
    <t xml:space="preserve">M1 canonical</t>
  </si>
  <si>
    <t xml:space="preserve">Coil No + WO spine (plant genealogy)</t>
  </si>
  <si>
    <t xml:space="preserve">Machine status</t>
  </si>
  <si>
    <t xml:space="preserve">run/stop, mode, drive health</t>
  </si>
  <si>
    <t xml:space="preserve">Availability for OEE</t>
  </si>
  <si>
    <t xml:space="preserve">Read-only tap</t>
  </si>
  <si>
    <t xml:space="preserve">Welder MESSAGE = interim run/stop</t>
  </si>
  <si>
    <t xml:space="preserve">Process parameters</t>
  </si>
  <si>
    <t xml:space="preserve">weld kW, zone temps, bath temps, speed</t>
  </si>
  <si>
    <t xml:space="preserve">Process compliance &amp; quality</t>
  </si>
  <si>
    <t xml:space="preserve">Furnace + welder + STP are the L2 wins</t>
  </si>
  <si>
    <t xml:space="preserve">Production counter</t>
  </si>
  <si>
    <t xml:space="preserve">COC produced/reject count, draw pipe count</t>
  </si>
  <si>
    <t xml:space="preserve">Production &amp; yield</t>
  </si>
  <si>
    <t xml:space="preserve">COC = primary piece count</t>
  </si>
  <si>
    <t xml:space="preserve">Fault / alarm</t>
  </si>
  <si>
    <t xml:space="preserve">MESSAGE, drive fault, weld-band breach</t>
  </si>
  <si>
    <t xml:space="preserve">Downtime events</t>
  </si>
  <si>
    <t xml:space="preserve">Event tap</t>
  </si>
  <si>
    <t xml:space="preserve">Fault/alarm codes: To Confirm per controller</t>
  </si>
  <si>
    <t xml:space="preserve">M1 data layer</t>
  </si>
  <si>
    <t xml:space="preserve">Downtime (reason-coded)</t>
  </si>
  <si>
    <t xml:space="preserve">OEE availability</t>
  </si>
  <si>
    <t xml:space="preserve">Derived + PWA</t>
  </si>
  <si>
    <t xml:space="preserve">State transitions + operator reason (G-17/G-19)</t>
  </si>
  <si>
    <t xml:space="preserve">Quality signals</t>
  </si>
  <si>
    <t xml:space="preserve">UT/ECT, MPI, reject count, dims</t>
  </si>
  <si>
    <t xml:space="preserve">Quality analytics &amp; yield</t>
  </si>
  <si>
    <t xml:space="preserve">Derived + instrument + PWA</t>
  </si>
  <si>
    <t xml:space="preserve">NDT export path TBC (G-06)</t>
  </si>
  <si>
    <t xml:space="preserve">M1 applications</t>
  </si>
  <si>
    <t xml:space="preserve">Production monitoring · OEE · Downtime · Process · Quality · Maintenance · Energy · Dashboards</t>
  </si>
  <si>
    <t xml:space="preserve">KPIs</t>
  </si>
  <si>
    <t xml:space="preserve">Consumption layer</t>
  </si>
  <si>
    <t xml:space="preserve">M1 modules</t>
  </si>
  <si>
    <t xml:space="preserve">Availability×Performance×Quality = OEE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</si>
</sst>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E8A820"/>
      <name val="Arial"/>
      <family val="0"/>
      <charset val="1"/>
    </font>
    <font>
      <b val="true"/>
      <sz val="20"/>
      <color rgb="FF12211B"/>
      <name val="Arial"/>
      <family val="0"/>
      <charset val="1"/>
    </font>
    <font>
      <sz val="12"/>
      <color rgb="FF1E3829"/>
      <name val="Arial"/>
      <family val="0"/>
      <charset val="1"/>
    </font>
    <font>
      <i val="true"/>
      <sz val="9"/>
      <color rgb="FF7A9A87"/>
      <name val="Arial"/>
      <family val="0"/>
      <charset val="1"/>
    </font>
    <font>
      <b val="true"/>
      <sz val="9"/>
      <color rgb="FF162B22"/>
      <name val="Arial"/>
      <family val="0"/>
      <charset val="1"/>
    </font>
    <font>
      <sz val="9"/>
      <color rgb="FF12211B"/>
      <name val="Arial"/>
      <family val="0"/>
      <charset val="1"/>
    </font>
    <font>
      <i val="true"/>
      <sz val="9"/>
      <color rgb="FF1E382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E8A820"/>
      <name val="Arial"/>
      <family val="0"/>
      <charset val="1"/>
    </font>
    <font>
      <b val="true"/>
      <sz val="10"/>
      <color rgb="FF162B22"/>
      <name val="Arial"/>
      <family val="0"/>
      <charset val="1"/>
    </font>
    <font>
      <b val="true"/>
      <sz val="12"/>
      <color rgb="FF12211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2211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12211B"/>
      <name val="Arial"/>
      <family val="0"/>
      <charset val="1"/>
    </font>
    <font>
      <i val="true"/>
      <sz val="8"/>
      <color rgb="FF1E382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62B22"/>
        <bgColor rgb="FF12211B"/>
      </patternFill>
    </fill>
    <fill>
      <patternFill patternType="solid">
        <fgColor rgb="FFF6F6F4"/>
        <bgColor rgb="FFF1F5F2"/>
      </patternFill>
    </fill>
    <fill>
      <patternFill patternType="solid">
        <fgColor rgb="FFFBEBCB"/>
        <bgColor rgb="FFF7D9D5"/>
      </patternFill>
    </fill>
    <fill>
      <patternFill patternType="solid">
        <fgColor rgb="FFD9EFDE"/>
        <bgColor rgb="FFE4E8E5"/>
      </patternFill>
    </fill>
    <fill>
      <patternFill patternType="solid">
        <fgColor rgb="FFF7D9D5"/>
        <bgColor rgb="FFFBEBCB"/>
      </patternFill>
    </fill>
    <fill>
      <patternFill patternType="solid">
        <fgColor rgb="FF1E3829"/>
        <bgColor rgb="FF162B22"/>
      </patternFill>
    </fill>
    <fill>
      <patternFill patternType="solid">
        <fgColor rgb="FFDCE6EE"/>
        <bgColor rgb="FFE4E8E5"/>
      </patternFill>
    </fill>
    <fill>
      <patternFill patternType="solid">
        <fgColor rgb="FFC0392B"/>
        <bgColor rgb="FF993366"/>
      </patternFill>
    </fill>
    <fill>
      <patternFill patternType="solid">
        <fgColor rgb="FFE8A820"/>
        <bgColor rgb="FFFFCC00"/>
      </patternFill>
    </fill>
    <fill>
      <patternFill patternType="solid">
        <fgColor rgb="FF7A9A87"/>
        <bgColor rgb="FF808080"/>
      </patternFill>
    </fill>
    <fill>
      <patternFill patternType="solid">
        <fgColor rgb="FFC7CEC9"/>
        <bgColor rgb="FFC9D2CC"/>
      </patternFill>
    </fill>
    <fill>
      <patternFill patternType="solid">
        <fgColor rgb="FFE4E8E5"/>
        <bgColor rgb="FFDCE6EE"/>
      </patternFill>
    </fill>
    <fill>
      <patternFill patternType="solid">
        <fgColor rgb="FFFFFFFF"/>
        <bgColor rgb="FFF6F6F4"/>
      </patternFill>
    </fill>
    <fill>
      <patternFill patternType="solid">
        <fgColor rgb="FFF1F5F2"/>
        <bgColor rgb="FFF6F6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CC"/>
      </left>
      <right style="thin">
        <color rgb="FFC9D2CC"/>
      </right>
      <top style="thin">
        <color rgb="FFC9D2CC"/>
      </top>
      <bottom style="thin">
        <color rgb="FFC9D2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CEC9"/>
      <rgbColor rgb="FF808080"/>
      <rgbColor rgb="FF9999FF"/>
      <rgbColor rgb="FF993366"/>
      <rgbColor rgb="FFFBEBCB"/>
      <rgbColor rgb="FFDCE6EE"/>
      <rgbColor rgb="FF660066"/>
      <rgbColor rgb="FFFF8080"/>
      <rgbColor rgb="FF0066CC"/>
      <rgbColor rgb="FFC9D2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2"/>
      <rgbColor rgb="FFD9EFDE"/>
      <rgbColor rgb="FFF6F6F4"/>
      <rgbColor rgb="FFE4E8E5"/>
      <rgbColor rgb="FFFF99CC"/>
      <rgbColor rgb="FFCC99FF"/>
      <rgbColor rgb="FFF7D9D5"/>
      <rgbColor rgb="FF3366FF"/>
      <rgbColor rgb="FF33CCCC"/>
      <rgbColor rgb="FF99CC00"/>
      <rgbColor rgb="FFFFCC00"/>
      <rgbColor rgb="FFE8A820"/>
      <rgbColor rgb="FFFF6600"/>
      <rgbColor rgb="FF666699"/>
      <rgbColor rgb="FF7A9A87"/>
      <rgbColor rgb="FF003366"/>
      <rgbColor rgb="FF339966"/>
      <rgbColor rgb="FF162B22"/>
      <rgbColor rgb="FF12211B"/>
      <rgbColor rgb="FFC0392B"/>
      <rgbColor rgb="FF993366"/>
      <rgbColor rgb="FF333399"/>
      <rgbColor rgb="FF1E38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5" customFormat="false" ht="24.45" hidden="false" customHeight="false" outlineLevel="0" collapsed="false">
      <c r="B5" s="3" t="s">
        <v>1</v>
      </c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B6" s="4" t="s">
        <v>2</v>
      </c>
      <c r="C6" s="4"/>
      <c r="D6" s="4"/>
      <c r="E6" s="4"/>
      <c r="F6" s="4"/>
      <c r="G6" s="4"/>
      <c r="H6" s="4"/>
      <c r="I6" s="4"/>
    </row>
    <row r="7" customFormat="false" ht="15" hidden="false" customHeight="false" outlineLevel="0" collapsed="false">
      <c r="B7" s="5" t="s">
        <v>3</v>
      </c>
      <c r="C7" s="5"/>
      <c r="D7" s="5"/>
      <c r="E7" s="5"/>
      <c r="F7" s="5"/>
      <c r="G7" s="5"/>
      <c r="H7" s="5"/>
      <c r="I7" s="5"/>
    </row>
    <row r="10" customFormat="false" ht="30" hidden="false" customHeight="true" outlineLevel="0" collapsed="false">
      <c r="B10" s="6" t="s">
        <v>4</v>
      </c>
      <c r="C10" s="7" t="s">
        <v>5</v>
      </c>
      <c r="D10" s="7"/>
      <c r="E10" s="7"/>
      <c r="F10" s="7"/>
      <c r="G10" s="7"/>
      <c r="H10" s="7"/>
      <c r="I10" s="7"/>
    </row>
    <row r="11" customFormat="false" ht="30" hidden="false" customHeight="true" outlineLevel="0" collapsed="false">
      <c r="B11" s="6" t="s">
        <v>6</v>
      </c>
      <c r="C11" s="7" t="s">
        <v>7</v>
      </c>
      <c r="D11" s="7"/>
      <c r="E11" s="7"/>
      <c r="F11" s="7"/>
      <c r="G11" s="7"/>
      <c r="H11" s="7"/>
      <c r="I11" s="7"/>
    </row>
    <row r="12" customFormat="false" ht="30" hidden="false" customHeight="true" outlineLevel="0" collapsed="false">
      <c r="B12" s="6" t="s">
        <v>8</v>
      </c>
      <c r="C12" s="7" t="s">
        <v>9</v>
      </c>
      <c r="D12" s="7"/>
      <c r="E12" s="7"/>
      <c r="F12" s="7"/>
      <c r="G12" s="7"/>
      <c r="H12" s="7"/>
      <c r="I12" s="7"/>
    </row>
    <row r="13" customFormat="false" ht="30" hidden="false" customHeight="true" outlineLevel="0" collapsed="false">
      <c r="B13" s="6" t="s">
        <v>10</v>
      </c>
      <c r="C13" s="7" t="s">
        <v>11</v>
      </c>
      <c r="D13" s="7"/>
      <c r="E13" s="7"/>
      <c r="F13" s="7"/>
      <c r="G13" s="7"/>
      <c r="H13" s="7"/>
      <c r="I13" s="7"/>
    </row>
    <row r="14" customFormat="false" ht="30" hidden="false" customHeight="true" outlineLevel="0" collapsed="false">
      <c r="B14" s="6" t="s">
        <v>12</v>
      </c>
      <c r="C14" s="7" t="s">
        <v>13</v>
      </c>
      <c r="D14" s="7"/>
      <c r="E14" s="7"/>
      <c r="F14" s="7"/>
      <c r="G14" s="7"/>
      <c r="H14" s="7"/>
      <c r="I14" s="7"/>
    </row>
    <row r="15" customFormat="false" ht="30" hidden="false" customHeight="true" outlineLevel="0" collapsed="false">
      <c r="B15" s="6" t="s">
        <v>14</v>
      </c>
      <c r="C15" s="7" t="s">
        <v>15</v>
      </c>
      <c r="D15" s="7"/>
      <c r="E15" s="7"/>
      <c r="F15" s="7"/>
      <c r="G15" s="7"/>
      <c r="H15" s="7"/>
      <c r="I15" s="7"/>
    </row>
    <row r="16" customFormat="false" ht="30" hidden="false" customHeight="true" outlineLevel="0" collapsed="false">
      <c r="B16" s="6" t="s">
        <v>16</v>
      </c>
      <c r="C16" s="7" t="s">
        <v>17</v>
      </c>
      <c r="D16" s="7"/>
      <c r="E16" s="7"/>
      <c r="F16" s="7"/>
      <c r="G16" s="7"/>
      <c r="H16" s="7"/>
      <c r="I16" s="7"/>
    </row>
    <row r="17" customFormat="false" ht="30" hidden="false" customHeight="true" outlineLevel="0" collapsed="false">
      <c r="B17" s="6" t="s">
        <v>18</v>
      </c>
      <c r="C17" s="7" t="s">
        <v>19</v>
      </c>
      <c r="D17" s="7"/>
      <c r="E17" s="7"/>
      <c r="F17" s="7"/>
      <c r="G17" s="7"/>
      <c r="H17" s="7"/>
      <c r="I17" s="7"/>
    </row>
    <row r="18" customFormat="false" ht="30" hidden="false" customHeight="true" outlineLevel="0" collapsed="false">
      <c r="B18" s="6" t="s">
        <v>20</v>
      </c>
      <c r="C18" s="7" t="s">
        <v>21</v>
      </c>
      <c r="D18" s="7"/>
      <c r="E18" s="7"/>
      <c r="F18" s="7"/>
      <c r="G18" s="7"/>
      <c r="H18" s="7"/>
      <c r="I18" s="7"/>
    </row>
    <row r="20" customFormat="false" ht="22.35" hidden="false" customHeight="true" outlineLevel="0" collapsed="false">
      <c r="B20" s="8" t="s">
        <v>22</v>
      </c>
      <c r="C20" s="8"/>
      <c r="D20" s="8"/>
      <c r="E20" s="8"/>
      <c r="F20" s="8"/>
      <c r="G20" s="8"/>
      <c r="H20" s="8"/>
      <c r="I20" s="8"/>
    </row>
  </sheetData>
  <mergeCells count="14">
    <mergeCell ref="B2:I2"/>
    <mergeCell ref="B5:I5"/>
    <mergeCell ref="B6:I6"/>
    <mergeCell ref="B7:I7"/>
    <mergeCell ref="C10:I10"/>
    <mergeCell ref="C11:I11"/>
    <mergeCell ref="C12:I12"/>
    <mergeCell ref="C13:I13"/>
    <mergeCell ref="C14:I14"/>
    <mergeCell ref="C15:I15"/>
    <mergeCell ref="C16:I16"/>
    <mergeCell ref="C17:I17"/>
    <mergeCell ref="C18:I18"/>
    <mergeCell ref="B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42"/>
    <col collapsed="false" customWidth="true" hidden="false" outlineLevel="0" max="7" min="6" style="0" width="16"/>
  </cols>
  <sheetData>
    <row r="2" customFormat="false" ht="25.5" hidden="false" customHeight="true" outlineLevel="0" collapsed="false">
      <c r="B2" s="9" t="s">
        <v>23</v>
      </c>
      <c r="C2" s="9"/>
      <c r="D2" s="9"/>
      <c r="E2" s="9"/>
      <c r="F2" s="9"/>
      <c r="G2" s="9"/>
    </row>
    <row r="3" customFormat="false" ht="15" hidden="false" customHeight="false" outlineLevel="0" collapsed="false">
      <c r="B3" s="10" t="s">
        <v>24</v>
      </c>
      <c r="C3" s="10"/>
      <c r="D3" s="10"/>
      <c r="E3" s="10"/>
      <c r="F3" s="10"/>
      <c r="G3" s="10"/>
    </row>
    <row r="5" customFormat="false" ht="15" hidden="false" customHeight="false" outlineLevel="0" collapsed="false">
      <c r="B5" s="11" t="s">
        <v>25</v>
      </c>
    </row>
    <row r="6" customFormat="false" ht="15" hidden="false" customHeight="false" outlineLevel="0" collapsed="false">
      <c r="B6" s="12" t="s">
        <v>26</v>
      </c>
      <c r="C6" s="13" t="n">
        <v>14</v>
      </c>
    </row>
    <row r="7" customFormat="false" ht="15" hidden="false" customHeight="false" outlineLevel="0" collapsed="false">
      <c r="B7" s="12" t="s">
        <v>27</v>
      </c>
      <c r="C7" s="13" t="n">
        <v>15</v>
      </c>
    </row>
    <row r="8" customFormat="false" ht="15" hidden="false" customHeight="false" outlineLevel="0" collapsed="false">
      <c r="B8" s="12" t="s">
        <v>28</v>
      </c>
      <c r="C8" s="13" t="n">
        <v>20</v>
      </c>
    </row>
    <row r="9" customFormat="false" ht="26.85" hidden="false" customHeight="false" outlineLevel="0" collapsed="false">
      <c r="B9" s="12" t="s">
        <v>29</v>
      </c>
      <c r="C9" s="13" t="s">
        <v>30</v>
      </c>
    </row>
    <row r="10" customFormat="false" ht="15" hidden="false" customHeight="false" outlineLevel="0" collapsed="false">
      <c r="B10" s="12" t="s">
        <v>31</v>
      </c>
      <c r="C10" s="13" t="n">
        <v>4</v>
      </c>
    </row>
    <row r="11" customFormat="false" ht="15" hidden="false" customHeight="false" outlineLevel="0" collapsed="false">
      <c r="B11" s="12" t="s">
        <v>32</v>
      </c>
      <c r="C11" s="13" t="n">
        <v>2</v>
      </c>
    </row>
    <row r="12" customFormat="false" ht="52.2" hidden="false" customHeight="false" outlineLevel="0" collapsed="false">
      <c r="B12" s="12" t="s">
        <v>33</v>
      </c>
      <c r="C12" s="13" t="s">
        <v>34</v>
      </c>
    </row>
    <row r="14" customFormat="false" ht="15" hidden="false" customHeight="false" outlineLevel="0" collapsed="false">
      <c r="B14" s="11" t="s">
        <v>35</v>
      </c>
    </row>
    <row r="15" customFormat="false" ht="15" hidden="false" customHeight="false" outlineLevel="0" collapsed="false">
      <c r="B15" s="12" t="s">
        <v>36</v>
      </c>
      <c r="C15" s="13" t="n">
        <f aca="false">COUNTA(Tag_Dictionary!A3:A149)</f>
        <v>147</v>
      </c>
    </row>
    <row r="16" customFormat="false" ht="15" hidden="false" customHeight="false" outlineLevel="0" collapsed="false">
      <c r="B16" s="12" t="s">
        <v>37</v>
      </c>
      <c r="C16" s="14" t="n">
        <f aca="false">COUNTIF(Tag_Dictionary!M3:M149,"Yes")</f>
        <v>114</v>
      </c>
    </row>
    <row r="17" customFormat="false" ht="15" hidden="false" customHeight="false" outlineLevel="0" collapsed="false">
      <c r="B17" s="12" t="s">
        <v>38</v>
      </c>
      <c r="C17" s="13" t="n">
        <f aca="false">COUNTIF(Tag_Dictionary!M3:M149,"Optional")</f>
        <v>33</v>
      </c>
    </row>
    <row r="18" customFormat="false" ht="15" hidden="false" customHeight="false" outlineLevel="0" collapsed="false">
      <c r="B18" s="12" t="s">
        <v>39</v>
      </c>
      <c r="C18" s="15" t="n">
        <f aca="false">COUNTIF(Tag_Dictionary!S3:S149,"Yes - already flowing (live)")+COUNTIF(Tag_Dictionary!S3:S149,"Yes - in SCADA now")+COUNTIF(Tag_Dictionary!S3:S149,"Yes - in history log")+COUNTIF(Tag_Dictionary!S3:S149,"Yes - from HMI touchscreen")</f>
        <v>39</v>
      </c>
    </row>
    <row r="19" customFormat="false" ht="15" hidden="false" customHeight="false" outlineLevel="0" collapsed="false">
      <c r="B19" s="12" t="s">
        <v>40</v>
      </c>
      <c r="C19" s="13" t="n">
        <f aca="false">COUNTIF(Tag_Dictionary!S3:S149,"Yes - in PLC, need tag name")+COUNTIF(Tag_Dictionary!S3:S149,"Yes - reachable, need tag list")+COUNTIF(Tag_Dictionary!S3:S149,"Yes - from a meter")+COUNTIF(Tag_Dictionary!S3:S149,"Yes - from ERP system")</f>
        <v>57</v>
      </c>
    </row>
    <row r="20" customFormat="false" ht="15" hidden="false" customHeight="false" outlineLevel="0" collapsed="false">
      <c r="B20" s="12" t="s">
        <v>41</v>
      </c>
      <c r="C20" s="13" t="n">
        <f aca="false">COUNTIF(Tag_Dictionary!S3:S149,"No - operator types it in")</f>
        <v>34</v>
      </c>
    </row>
    <row r="21" customFormat="false" ht="15" hidden="false" customHeight="false" outlineLevel="0" collapsed="false">
      <c r="B21" s="12" t="s">
        <v>42</v>
      </c>
      <c r="C21" s="13" t="n">
        <f aca="false">COUNTIF(Tag_Dictionary!S3:S149,"No - M1 works it out")</f>
        <v>7</v>
      </c>
    </row>
    <row r="22" customFormat="false" ht="15" hidden="false" customHeight="false" outlineLevel="0" collapsed="false">
      <c r="B22" s="12" t="s">
        <v>43</v>
      </c>
      <c r="C22" s="16" t="n">
        <f aca="false">COUNTIF(Tag_Dictionary!S3:S149,"To Confirm")+COUNTIF(Tag_Dictionary!S3:S149,"No - not available today")</f>
        <v>10</v>
      </c>
    </row>
    <row r="23" customFormat="false" ht="15" hidden="false" customHeight="false" outlineLevel="0" collapsed="false">
      <c r="B23" s="12" t="s">
        <v>44</v>
      </c>
      <c r="C23" s="14" t="n">
        <f aca="false">COUNTIF(Tag_Dictionary!U3:U149,"Critical")</f>
        <v>14</v>
      </c>
    </row>
    <row r="24" customFormat="false" ht="15" hidden="false" customHeight="false" outlineLevel="0" collapsed="false">
      <c r="B24" s="12" t="s">
        <v>45</v>
      </c>
      <c r="C24" s="14" t="n">
        <f aca="false">COUNTIF(Tag_Dictionary!V3:V149,"P0")</f>
        <v>14</v>
      </c>
    </row>
    <row r="25" customFormat="false" ht="15" hidden="false" customHeight="false" outlineLevel="0" collapsed="false">
      <c r="B25" s="12" t="s">
        <v>46</v>
      </c>
      <c r="C25" s="13" t="n">
        <v>19</v>
      </c>
    </row>
    <row r="27" customFormat="false" ht="15" hidden="false" customHeight="false" outlineLevel="0" collapsed="false">
      <c r="B27" s="11" t="s">
        <v>47</v>
      </c>
    </row>
    <row r="28" customFormat="false" ht="27.75" hidden="false" customHeight="true" outlineLevel="0" collapsed="false">
      <c r="B28" s="7" t="s">
        <v>48</v>
      </c>
      <c r="C28" s="7"/>
      <c r="D28" s="7"/>
      <c r="E28" s="7"/>
      <c r="F28" s="7"/>
      <c r="G28" s="7"/>
    </row>
    <row r="29" customFormat="false" ht="27.75" hidden="false" customHeight="true" outlineLevel="0" collapsed="false">
      <c r="B29" s="7" t="s">
        <v>49</v>
      </c>
      <c r="C29" s="7"/>
      <c r="D29" s="7"/>
      <c r="E29" s="7"/>
      <c r="F29" s="7"/>
      <c r="G29" s="7"/>
    </row>
    <row r="30" customFormat="false" ht="27.75" hidden="false" customHeight="true" outlineLevel="0" collapsed="false">
      <c r="B30" s="7" t="s">
        <v>50</v>
      </c>
      <c r="C30" s="7"/>
      <c r="D30" s="7"/>
      <c r="E30" s="7"/>
      <c r="F30" s="7"/>
      <c r="G30" s="7"/>
    </row>
    <row r="31" customFormat="false" ht="27.75" hidden="false" customHeight="true" outlineLevel="0" collapsed="false">
      <c r="B31" s="7" t="s">
        <v>51</v>
      </c>
      <c r="C31" s="7"/>
      <c r="D31" s="7"/>
      <c r="E31" s="7"/>
      <c r="F31" s="7"/>
      <c r="G31" s="7"/>
    </row>
    <row r="32" customFormat="false" ht="27.75" hidden="false" customHeight="true" outlineLevel="0" collapsed="false">
      <c r="B32" s="7" t="s">
        <v>52</v>
      </c>
      <c r="C32" s="7"/>
      <c r="D32" s="7"/>
      <c r="E32" s="7"/>
      <c r="F32" s="7"/>
      <c r="G32" s="7"/>
    </row>
    <row r="33" customFormat="false" ht="27.75" hidden="false" customHeight="true" outlineLevel="0" collapsed="false">
      <c r="B33" s="7" t="s">
        <v>53</v>
      </c>
      <c r="C33" s="7"/>
      <c r="D33" s="7"/>
      <c r="E33" s="7"/>
      <c r="F33" s="7"/>
      <c r="G33" s="7"/>
    </row>
  </sheetData>
  <mergeCells count="8">
    <mergeCell ref="B2:G2"/>
    <mergeCell ref="B3:G3"/>
    <mergeCell ref="B28:G28"/>
    <mergeCell ref="B29:G29"/>
    <mergeCell ref="B30:G30"/>
    <mergeCell ref="B31:G31"/>
    <mergeCell ref="B32:G32"/>
    <mergeCell ref="B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14"/>
  </cols>
  <sheetData>
    <row r="2" customFormat="false" ht="17.35" hidden="false" customHeight="false" outlineLevel="0" collapsed="false">
      <c r="B2" s="17" t="s">
        <v>54</v>
      </c>
      <c r="C2" s="17"/>
      <c r="D2" s="17"/>
    </row>
    <row r="4" customFormat="false" ht="15" hidden="false" customHeight="false" outlineLevel="0" collapsed="false">
      <c r="B4" s="11" t="s">
        <v>55</v>
      </c>
    </row>
    <row r="5" customFormat="false" ht="15" hidden="false" customHeight="false" outlineLevel="0" collapsed="false">
      <c r="B5" s="18" t="s">
        <v>56</v>
      </c>
      <c r="C5" s="18" t="s">
        <v>57</v>
      </c>
      <c r="D5" s="18" t="s">
        <v>58</v>
      </c>
    </row>
    <row r="6" customFormat="false" ht="25.5" hidden="false" customHeight="true" outlineLevel="0" collapsed="false">
      <c r="B6" s="19" t="s">
        <v>59</v>
      </c>
      <c r="C6" s="20" t="s">
        <v>60</v>
      </c>
      <c r="D6" s="21"/>
    </row>
    <row r="7" customFormat="false" ht="25.5" hidden="false" customHeight="true" outlineLevel="0" collapsed="false">
      <c r="B7" s="19" t="s">
        <v>61</v>
      </c>
      <c r="C7" s="20" t="s">
        <v>62</v>
      </c>
      <c r="D7" s="21"/>
    </row>
    <row r="8" customFormat="false" ht="25.5" hidden="false" customHeight="true" outlineLevel="0" collapsed="false">
      <c r="B8" s="19" t="s">
        <v>63</v>
      </c>
      <c r="C8" s="20" t="s">
        <v>64</v>
      </c>
      <c r="D8" s="21"/>
    </row>
    <row r="9" customFormat="false" ht="25.5" hidden="false" customHeight="true" outlineLevel="0" collapsed="false">
      <c r="B9" s="19" t="s">
        <v>65</v>
      </c>
      <c r="C9" s="20" t="s">
        <v>66</v>
      </c>
      <c r="D9" s="21"/>
    </row>
    <row r="10" customFormat="false" ht="25.5" hidden="false" customHeight="true" outlineLevel="0" collapsed="false">
      <c r="B10" s="19" t="s">
        <v>67</v>
      </c>
      <c r="C10" s="20" t="s">
        <v>68</v>
      </c>
      <c r="D10" s="22"/>
    </row>
    <row r="11" customFormat="false" ht="25.5" hidden="false" customHeight="true" outlineLevel="0" collapsed="false">
      <c r="B11" s="19" t="s">
        <v>69</v>
      </c>
      <c r="C11" s="20" t="s">
        <v>70</v>
      </c>
      <c r="D11" s="22"/>
    </row>
    <row r="12" customFormat="false" ht="25.5" hidden="false" customHeight="true" outlineLevel="0" collapsed="false">
      <c r="B12" s="19" t="s">
        <v>71</v>
      </c>
      <c r="C12" s="20" t="s">
        <v>72</v>
      </c>
      <c r="D12" s="22"/>
    </row>
    <row r="13" customFormat="false" ht="25.5" hidden="false" customHeight="true" outlineLevel="0" collapsed="false">
      <c r="B13" s="19" t="s">
        <v>73</v>
      </c>
      <c r="C13" s="20" t="s">
        <v>74</v>
      </c>
      <c r="D13" s="22"/>
    </row>
    <row r="14" customFormat="false" ht="25.5" hidden="false" customHeight="true" outlineLevel="0" collapsed="false">
      <c r="B14" s="19" t="s">
        <v>75</v>
      </c>
      <c r="C14" s="20" t="s">
        <v>76</v>
      </c>
      <c r="D14" s="23"/>
    </row>
    <row r="15" customFormat="false" ht="25.5" hidden="false" customHeight="true" outlineLevel="0" collapsed="false">
      <c r="B15" s="19" t="s">
        <v>77</v>
      </c>
      <c r="C15" s="20" t="s">
        <v>78</v>
      </c>
      <c r="D15" s="23"/>
    </row>
    <row r="16" customFormat="false" ht="25.5" hidden="false" customHeight="true" outlineLevel="0" collapsed="false">
      <c r="B16" s="19" t="s">
        <v>79</v>
      </c>
      <c r="C16" s="20" t="s">
        <v>80</v>
      </c>
      <c r="D16" s="24"/>
    </row>
    <row r="17" customFormat="false" ht="25.5" hidden="false" customHeight="true" outlineLevel="0" collapsed="false">
      <c r="B17" s="19" t="s">
        <v>81</v>
      </c>
      <c r="C17" s="20" t="s">
        <v>82</v>
      </c>
      <c r="D17" s="24"/>
    </row>
    <row r="19" customFormat="false" ht="15" hidden="false" customHeight="false" outlineLevel="0" collapsed="false">
      <c r="B19" s="11" t="s">
        <v>83</v>
      </c>
    </row>
    <row r="20" customFormat="false" ht="15" hidden="false" customHeight="false" outlineLevel="0" collapsed="false">
      <c r="B20" s="18" t="s">
        <v>56</v>
      </c>
      <c r="C20" s="18" t="s">
        <v>57</v>
      </c>
      <c r="D20" s="18" t="s">
        <v>58</v>
      </c>
    </row>
    <row r="21" customFormat="false" ht="25.5" hidden="false" customHeight="true" outlineLevel="0" collapsed="false">
      <c r="B21" s="19" t="s">
        <v>84</v>
      </c>
      <c r="C21" s="20" t="s">
        <v>85</v>
      </c>
      <c r="D21" s="25"/>
    </row>
    <row r="22" customFormat="false" ht="25.5" hidden="false" customHeight="true" outlineLevel="0" collapsed="false">
      <c r="B22" s="19" t="s">
        <v>86</v>
      </c>
      <c r="C22" s="20" t="s">
        <v>87</v>
      </c>
      <c r="D22" s="26"/>
    </row>
    <row r="23" customFormat="false" ht="25.5" hidden="false" customHeight="true" outlineLevel="0" collapsed="false">
      <c r="B23" s="19" t="s">
        <v>88</v>
      </c>
      <c r="C23" s="20" t="s">
        <v>89</v>
      </c>
      <c r="D23" s="27"/>
    </row>
    <row r="24" customFormat="false" ht="25.5" hidden="false" customHeight="true" outlineLevel="0" collapsed="false">
      <c r="B24" s="19" t="s">
        <v>90</v>
      </c>
      <c r="C24" s="20" t="s">
        <v>91</v>
      </c>
      <c r="D24" s="28"/>
    </row>
    <row r="26" customFormat="false" ht="15" hidden="false" customHeight="false" outlineLevel="0" collapsed="false">
      <c r="B26" s="11" t="s">
        <v>92</v>
      </c>
    </row>
    <row r="27" customFormat="false" ht="15" hidden="false" customHeight="false" outlineLevel="0" collapsed="false">
      <c r="B27" s="18" t="s">
        <v>56</v>
      </c>
      <c r="C27" s="18" t="s">
        <v>57</v>
      </c>
      <c r="D27" s="18" t="s">
        <v>58</v>
      </c>
    </row>
    <row r="28" customFormat="false" ht="25.5" hidden="false" customHeight="true" outlineLevel="0" collapsed="false">
      <c r="B28" s="19" t="s">
        <v>93</v>
      </c>
      <c r="C28" s="20" t="s">
        <v>94</v>
      </c>
      <c r="D28" s="24"/>
    </row>
    <row r="29" customFormat="false" ht="25.5" hidden="false" customHeight="true" outlineLevel="0" collapsed="false">
      <c r="B29" s="19" t="s">
        <v>95</v>
      </c>
      <c r="C29" s="20" t="s">
        <v>96</v>
      </c>
      <c r="D29" s="22"/>
    </row>
    <row r="30" customFormat="false" ht="25.5" hidden="false" customHeight="true" outlineLevel="0" collapsed="false">
      <c r="B30" s="19" t="s">
        <v>97</v>
      </c>
      <c r="C30" s="20" t="s">
        <v>98</v>
      </c>
      <c r="D30" s="29"/>
    </row>
    <row r="31" customFormat="false" ht="25.5" hidden="false" customHeight="true" outlineLevel="0" collapsed="false">
      <c r="B31" s="19" t="s">
        <v>99</v>
      </c>
      <c r="C31" s="20" t="s">
        <v>100</v>
      </c>
      <c r="D31" s="21"/>
    </row>
    <row r="32" customFormat="false" ht="25.5" hidden="false" customHeight="true" outlineLevel="0" collapsed="false">
      <c r="B32" s="19" t="s">
        <v>101</v>
      </c>
      <c r="C32" s="20" t="s">
        <v>102</v>
      </c>
      <c r="D32" s="22"/>
    </row>
    <row r="33" customFormat="false" ht="25.5" hidden="false" customHeight="true" outlineLevel="0" collapsed="false">
      <c r="B33" s="19" t="s">
        <v>103</v>
      </c>
      <c r="C33" s="20" t="s">
        <v>104</v>
      </c>
      <c r="D33" s="24"/>
    </row>
    <row r="35" customFormat="false" ht="15" hidden="false" customHeight="false" outlineLevel="0" collapsed="false">
      <c r="B35" s="11" t="s">
        <v>105</v>
      </c>
    </row>
    <row r="36" customFormat="false" ht="15" hidden="false" customHeight="false" outlineLevel="0" collapsed="false">
      <c r="B36" s="18" t="s">
        <v>56</v>
      </c>
      <c r="C36" s="18" t="s">
        <v>57</v>
      </c>
      <c r="D36" s="18" t="s">
        <v>58</v>
      </c>
    </row>
    <row r="37" customFormat="false" ht="25.5" hidden="false" customHeight="true" outlineLevel="0" collapsed="false">
      <c r="B37" s="19" t="s">
        <v>106</v>
      </c>
      <c r="C37" s="20" t="s">
        <v>107</v>
      </c>
      <c r="D37" s="30"/>
    </row>
    <row r="38" customFormat="false" ht="25.5" hidden="false" customHeight="true" outlineLevel="0" collapsed="false">
      <c r="B38" s="19" t="s">
        <v>108</v>
      </c>
      <c r="C38" s="20" t="s">
        <v>109</v>
      </c>
      <c r="D38" s="30"/>
    </row>
    <row r="39" customFormat="false" ht="25.5" hidden="false" customHeight="true" outlineLevel="0" collapsed="false">
      <c r="B39" s="19" t="s">
        <v>110</v>
      </c>
      <c r="C39" s="20" t="s">
        <v>111</v>
      </c>
      <c r="D39" s="30"/>
    </row>
    <row r="40" customFormat="false" ht="25.5" hidden="false" customHeight="true" outlineLevel="0" collapsed="false">
      <c r="B40" s="19" t="s">
        <v>112</v>
      </c>
      <c r="C40" s="20" t="s">
        <v>113</v>
      </c>
      <c r="D40" s="30"/>
    </row>
    <row r="41" customFormat="false" ht="25.5" hidden="false" customHeight="true" outlineLevel="0" collapsed="false">
      <c r="B41" s="19" t="s">
        <v>114</v>
      </c>
      <c r="C41" s="20" t="s">
        <v>115</v>
      </c>
      <c r="D41" s="30"/>
    </row>
    <row r="43" customFormat="false" ht="15" hidden="false" customHeight="false" outlineLevel="0" collapsed="false">
      <c r="B43" s="11" t="s">
        <v>116</v>
      </c>
    </row>
    <row r="44" customFormat="false" ht="15" hidden="false" customHeight="false" outlineLevel="0" collapsed="false">
      <c r="B44" s="18" t="s">
        <v>56</v>
      </c>
      <c r="C44" s="18" t="s">
        <v>57</v>
      </c>
      <c r="D44" s="18" t="s">
        <v>58</v>
      </c>
    </row>
    <row r="45" customFormat="false" ht="25.5" hidden="false" customHeight="true" outlineLevel="0" collapsed="false">
      <c r="B45" s="19" t="s">
        <v>117</v>
      </c>
      <c r="C45" s="20" t="s">
        <v>118</v>
      </c>
      <c r="D45" s="30"/>
    </row>
    <row r="46" customFormat="false" ht="25.5" hidden="false" customHeight="true" outlineLevel="0" collapsed="false">
      <c r="B46" s="19" t="s">
        <v>119</v>
      </c>
      <c r="C46" s="20" t="s">
        <v>120</v>
      </c>
      <c r="D46" s="30"/>
    </row>
    <row r="47" customFormat="false" ht="25.5" hidden="false" customHeight="true" outlineLevel="0" collapsed="false">
      <c r="B47" s="19" t="s">
        <v>121</v>
      </c>
      <c r="C47" s="20" t="s">
        <v>122</v>
      </c>
      <c r="D47" s="30"/>
    </row>
    <row r="48" customFormat="false" ht="25.5" hidden="false" customHeight="true" outlineLevel="0" collapsed="false">
      <c r="B48" s="19" t="s">
        <v>123</v>
      </c>
      <c r="C48" s="20" t="s">
        <v>124</v>
      </c>
      <c r="D48" s="30"/>
    </row>
    <row r="49" customFormat="false" ht="25.5" hidden="false" customHeight="true" outlineLevel="0" collapsed="false">
      <c r="B49" s="19" t="s">
        <v>125</v>
      </c>
      <c r="C49" s="20" t="s">
        <v>126</v>
      </c>
      <c r="D49" s="30"/>
    </row>
    <row r="50" customFormat="false" ht="25.5" hidden="false" customHeight="true" outlineLevel="0" collapsed="false">
      <c r="B50" s="19" t="s">
        <v>127</v>
      </c>
      <c r="C50" s="20" t="s">
        <v>128</v>
      </c>
      <c r="D50" s="30"/>
    </row>
    <row r="51" customFormat="false" ht="25.5" hidden="false" customHeight="true" outlineLevel="0" collapsed="false">
      <c r="B51" s="19" t="s">
        <v>129</v>
      </c>
      <c r="C51" s="20" t="s">
        <v>130</v>
      </c>
      <c r="D51" s="30"/>
    </row>
    <row r="52" customFormat="false" ht="25.5" hidden="false" customHeight="true" outlineLevel="0" collapsed="false">
      <c r="B52" s="19" t="s">
        <v>131</v>
      </c>
      <c r="C52" s="20" t="s">
        <v>132</v>
      </c>
      <c r="D52" s="30"/>
    </row>
    <row r="53" customFormat="false" ht="25.5" hidden="false" customHeight="true" outlineLevel="0" collapsed="false">
      <c r="B53" s="19" t="s">
        <v>133</v>
      </c>
      <c r="C53" s="20" t="s">
        <v>134</v>
      </c>
      <c r="D53" s="30"/>
    </row>
    <row r="54" customFormat="false" ht="25.5" hidden="false" customHeight="true" outlineLevel="0" collapsed="false">
      <c r="B54" s="19" t="s">
        <v>135</v>
      </c>
      <c r="C54" s="20" t="s">
        <v>136</v>
      </c>
      <c r="D54" s="30"/>
    </row>
    <row r="55" customFormat="false" ht="25.5" hidden="false" customHeight="true" outlineLevel="0" collapsed="false">
      <c r="B55" s="19" t="s">
        <v>137</v>
      </c>
      <c r="C55" s="20" t="s">
        <v>138</v>
      </c>
      <c r="D55" s="30"/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8" min="18" style="0" width="34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1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22"/>
    <col collapsed="false" customWidth="true" hidden="false" outlineLevel="0" max="26" min="26" style="0" width="9"/>
    <col collapsed="false" customWidth="true" hidden="false" outlineLevel="0" max="27" min="27" style="0" width="30"/>
    <col collapsed="false" customWidth="true" hidden="false" outlineLevel="0" max="28" min="28" style="0" width="20"/>
    <col collapsed="false" customWidth="true" hidden="false" outlineLevel="0" max="29" min="29" style="0" width="13"/>
    <col collapsed="false" customWidth="true" hidden="false" outlineLevel="0" max="30" min="30" style="0" width="14"/>
    <col collapsed="false" customWidth="true" hidden="false" outlineLevel="0" max="31" min="31" style="0" width="9"/>
    <col collapsed="false" customWidth="true" hidden="false" outlineLevel="0" max="32" min="32" style="0" width="18"/>
    <col collapsed="false" customWidth="true" hidden="false" outlineLevel="0" max="33" min="33" style="0" width="9"/>
    <col collapsed="false" customWidth="true" hidden="false" outlineLevel="0" max="35" min="34" style="0" width="8"/>
    <col collapsed="false" customWidth="true" hidden="false" outlineLevel="0" max="37" min="36" style="0" width="11"/>
    <col collapsed="false" customWidth="true" hidden="false" outlineLevel="0" max="38" min="38" style="0" width="8"/>
    <col collapsed="false" customWidth="true" hidden="false" outlineLevel="0" max="39" min="39" style="0" width="6"/>
    <col collapsed="false" customWidth="true" hidden="false" outlineLevel="0" max="40" min="40" style="0" width="9"/>
    <col collapsed="false" customWidth="true" hidden="false" outlineLevel="0" max="41" min="41" style="0" width="8"/>
    <col collapsed="false" customWidth="true" hidden="false" outlineLevel="0" max="42" min="42" style="0" width="10"/>
    <col collapsed="false" customWidth="true" hidden="false" outlineLevel="0" max="43" min="43" style="0" width="7"/>
    <col collapsed="false" customWidth="true" hidden="false" outlineLevel="0" max="45" min="44" style="0" width="18"/>
    <col collapsed="false" customWidth="true" hidden="false" outlineLevel="0" max="47" min="46" style="0" width="22"/>
    <col collapsed="false" customWidth="true" hidden="false" outlineLevel="0" max="48" min="48" style="0" width="13"/>
    <col collapsed="false" customWidth="true" hidden="false" outlineLevel="0" max="49" min="49" style="0" width="11"/>
    <col collapsed="false" customWidth="true" hidden="false" outlineLevel="0" max="50" min="50" style="0" width="9"/>
    <col collapsed="false" customWidth="true" hidden="false" outlineLevel="0" max="51" min="51" style="0" width="40"/>
  </cols>
  <sheetData>
    <row r="1" customFormat="false" ht="21.75" hidden="false" customHeight="true" outlineLevel="0" collapsed="false">
      <c r="A1" s="31" t="s">
        <v>139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</row>
    <row r="2" customFormat="false" ht="19.4" hidden="false" customHeight="false" outlineLevel="0" collapsed="false">
      <c r="A2" s="32" t="s">
        <v>140</v>
      </c>
      <c r="B2" s="32" t="s">
        <v>141</v>
      </c>
      <c r="C2" s="32" t="s">
        <v>142</v>
      </c>
      <c r="D2" s="32" t="s">
        <v>143</v>
      </c>
      <c r="E2" s="32" t="s">
        <v>144</v>
      </c>
      <c r="F2" s="32" t="s">
        <v>145</v>
      </c>
      <c r="G2" s="32" t="s">
        <v>146</v>
      </c>
      <c r="H2" s="32" t="s">
        <v>147</v>
      </c>
      <c r="I2" s="32" t="s">
        <v>148</v>
      </c>
      <c r="J2" s="32" t="s">
        <v>149</v>
      </c>
      <c r="K2" s="32" t="s">
        <v>150</v>
      </c>
      <c r="L2" s="32" t="s">
        <v>151</v>
      </c>
      <c r="M2" s="32" t="s">
        <v>152</v>
      </c>
      <c r="N2" s="32" t="s">
        <v>153</v>
      </c>
      <c r="O2" s="32" t="s">
        <v>154</v>
      </c>
      <c r="P2" s="32" t="s">
        <v>155</v>
      </c>
      <c r="Q2" s="32" t="s">
        <v>156</v>
      </c>
      <c r="R2" s="32" t="s">
        <v>157</v>
      </c>
      <c r="S2" s="32" t="s">
        <v>117</v>
      </c>
      <c r="T2" s="32" t="s">
        <v>158</v>
      </c>
      <c r="U2" s="32" t="s">
        <v>159</v>
      </c>
      <c r="V2" s="32" t="s">
        <v>160</v>
      </c>
      <c r="W2" s="32" t="s">
        <v>161</v>
      </c>
      <c r="X2" s="32" t="s">
        <v>162</v>
      </c>
      <c r="Y2" s="32" t="s">
        <v>163</v>
      </c>
      <c r="Z2" s="32" t="s">
        <v>164</v>
      </c>
      <c r="AA2" s="32" t="s">
        <v>165</v>
      </c>
      <c r="AB2" s="32" t="s">
        <v>166</v>
      </c>
      <c r="AC2" s="32" t="s">
        <v>167</v>
      </c>
      <c r="AD2" s="32" t="s">
        <v>168</v>
      </c>
      <c r="AE2" s="32" t="s">
        <v>169</v>
      </c>
      <c r="AF2" s="32" t="s">
        <v>170</v>
      </c>
      <c r="AG2" s="32" t="s">
        <v>171</v>
      </c>
      <c r="AH2" s="32" t="s">
        <v>172</v>
      </c>
      <c r="AI2" s="32" t="s">
        <v>173</v>
      </c>
      <c r="AJ2" s="32" t="s">
        <v>174</v>
      </c>
      <c r="AK2" s="32" t="s">
        <v>175</v>
      </c>
      <c r="AL2" s="32" t="s">
        <v>176</v>
      </c>
      <c r="AM2" s="32" t="s">
        <v>177</v>
      </c>
      <c r="AN2" s="32" t="s">
        <v>178</v>
      </c>
      <c r="AO2" s="32" t="s">
        <v>179</v>
      </c>
      <c r="AP2" s="32" t="s">
        <v>180</v>
      </c>
      <c r="AQ2" s="32" t="s">
        <v>181</v>
      </c>
      <c r="AR2" s="32" t="s">
        <v>182</v>
      </c>
      <c r="AS2" s="32" t="s">
        <v>183</v>
      </c>
      <c r="AT2" s="32" t="s">
        <v>184</v>
      </c>
      <c r="AU2" s="32" t="s">
        <v>185</v>
      </c>
      <c r="AV2" s="32" t="s">
        <v>186</v>
      </c>
      <c r="AW2" s="32" t="s">
        <v>187</v>
      </c>
      <c r="AX2" s="32" t="s">
        <v>188</v>
      </c>
      <c r="AY2" s="32" t="s">
        <v>189</v>
      </c>
    </row>
    <row r="3" customFormat="false" ht="30" hidden="false" customHeight="true" outlineLevel="0" collapsed="false">
      <c r="A3" s="33" t="n">
        <v>1</v>
      </c>
      <c r="B3" s="34" t="s">
        <v>190</v>
      </c>
      <c r="C3" s="34"/>
      <c r="D3" s="34" t="s">
        <v>191</v>
      </c>
      <c r="E3" s="34" t="s">
        <v>192</v>
      </c>
      <c r="F3" s="33" t="s">
        <v>193</v>
      </c>
      <c r="G3" s="34" t="s">
        <v>194</v>
      </c>
      <c r="H3" s="34" t="s">
        <v>195</v>
      </c>
      <c r="I3" s="34" t="s">
        <v>194</v>
      </c>
      <c r="J3" s="33" t="s">
        <v>194</v>
      </c>
      <c r="K3" s="34" t="s">
        <v>194</v>
      </c>
      <c r="L3" s="34" t="s">
        <v>137</v>
      </c>
      <c r="M3" s="34" t="s">
        <v>194</v>
      </c>
      <c r="N3" s="33" t="s">
        <v>196</v>
      </c>
      <c r="O3" s="34" t="s">
        <v>197</v>
      </c>
      <c r="P3" s="33" t="s">
        <v>194</v>
      </c>
      <c r="Q3" s="34" t="s">
        <v>198</v>
      </c>
      <c r="R3" s="34" t="s">
        <v>199</v>
      </c>
      <c r="S3" s="34" t="s">
        <v>200</v>
      </c>
      <c r="T3" s="33" t="s">
        <v>201</v>
      </c>
      <c r="U3" s="33" t="s">
        <v>194</v>
      </c>
      <c r="V3" s="33" t="s">
        <v>202</v>
      </c>
      <c r="W3" s="33"/>
      <c r="X3" s="33"/>
      <c r="Y3" s="34"/>
      <c r="Z3" s="35" t="s">
        <v>203</v>
      </c>
      <c r="AA3" s="34" t="s">
        <v>204</v>
      </c>
      <c r="AB3" s="34" t="s">
        <v>200</v>
      </c>
      <c r="AC3" s="33" t="s">
        <v>108</v>
      </c>
      <c r="AD3" s="33" t="s">
        <v>205</v>
      </c>
      <c r="AE3" s="33" t="s">
        <v>203</v>
      </c>
      <c r="AF3" s="33" t="s">
        <v>206</v>
      </c>
      <c r="AG3" s="33" t="s">
        <v>203</v>
      </c>
      <c r="AH3" s="33" t="s">
        <v>203</v>
      </c>
      <c r="AI3" s="33" t="s">
        <v>207</v>
      </c>
      <c r="AJ3" s="33" t="s">
        <v>194</v>
      </c>
      <c r="AK3" s="33" t="s">
        <v>194</v>
      </c>
      <c r="AL3" s="33"/>
      <c r="AM3" s="33"/>
      <c r="AN3" s="35" t="s">
        <v>208</v>
      </c>
      <c r="AO3" s="33"/>
      <c r="AP3" s="33"/>
      <c r="AQ3" s="33"/>
      <c r="AR3" s="34" t="s">
        <v>196</v>
      </c>
      <c r="AS3" s="34" t="s">
        <v>209</v>
      </c>
      <c r="AT3" s="34" t="s">
        <v>210</v>
      </c>
      <c r="AU3" s="36" t="s">
        <v>73</v>
      </c>
      <c r="AV3" s="35" t="s">
        <v>99</v>
      </c>
      <c r="AW3" s="37" t="s">
        <v>93</v>
      </c>
      <c r="AX3" s="38" t="s">
        <v>84</v>
      </c>
      <c r="AY3" s="34" t="s">
        <v>211</v>
      </c>
    </row>
    <row r="4" customFormat="false" ht="30" hidden="false" customHeight="true" outlineLevel="0" collapsed="false">
      <c r="A4" s="39" t="n">
        <v>2</v>
      </c>
      <c r="B4" s="40" t="s">
        <v>190</v>
      </c>
      <c r="C4" s="40"/>
      <c r="D4" s="40" t="s">
        <v>212</v>
      </c>
      <c r="E4" s="40" t="s">
        <v>192</v>
      </c>
      <c r="F4" s="39" t="s">
        <v>193</v>
      </c>
      <c r="G4" s="40" t="s">
        <v>194</v>
      </c>
      <c r="H4" s="40" t="s">
        <v>213</v>
      </c>
      <c r="I4" s="40" t="s">
        <v>194</v>
      </c>
      <c r="J4" s="39" t="s">
        <v>194</v>
      </c>
      <c r="K4" s="40" t="s">
        <v>194</v>
      </c>
      <c r="L4" s="40" t="s">
        <v>194</v>
      </c>
      <c r="M4" s="40" t="s">
        <v>194</v>
      </c>
      <c r="N4" s="39" t="s">
        <v>214</v>
      </c>
      <c r="O4" s="40" t="s">
        <v>215</v>
      </c>
      <c r="P4" s="39" t="s">
        <v>194</v>
      </c>
      <c r="Q4" s="40" t="s">
        <v>216</v>
      </c>
      <c r="R4" s="40" t="s">
        <v>217</v>
      </c>
      <c r="S4" s="40" t="s">
        <v>200</v>
      </c>
      <c r="T4" s="39" t="s">
        <v>201</v>
      </c>
      <c r="U4" s="39" t="s">
        <v>194</v>
      </c>
      <c r="V4" s="39" t="s">
        <v>218</v>
      </c>
      <c r="W4" s="39"/>
      <c r="X4" s="39"/>
      <c r="Y4" s="40"/>
      <c r="Z4" s="35" t="s">
        <v>203</v>
      </c>
      <c r="AA4" s="40" t="s">
        <v>219</v>
      </c>
      <c r="AB4" s="40" t="s">
        <v>200</v>
      </c>
      <c r="AC4" s="39" t="s">
        <v>108</v>
      </c>
      <c r="AD4" s="39" t="s">
        <v>220</v>
      </c>
      <c r="AE4" s="39" t="s">
        <v>203</v>
      </c>
      <c r="AF4" s="39" t="s">
        <v>206</v>
      </c>
      <c r="AG4" s="39" t="s">
        <v>203</v>
      </c>
      <c r="AH4" s="39" t="s">
        <v>203</v>
      </c>
      <c r="AI4" s="39" t="s">
        <v>207</v>
      </c>
      <c r="AJ4" s="39" t="s">
        <v>194</v>
      </c>
      <c r="AK4" s="39" t="s">
        <v>194</v>
      </c>
      <c r="AL4" s="39"/>
      <c r="AM4" s="39"/>
      <c r="AN4" s="35" t="s">
        <v>208</v>
      </c>
      <c r="AO4" s="39"/>
      <c r="AP4" s="39"/>
      <c r="AQ4" s="39"/>
      <c r="AR4" s="40" t="s">
        <v>214</v>
      </c>
      <c r="AS4" s="40" t="s">
        <v>194</v>
      </c>
      <c r="AT4" s="40" t="s">
        <v>221</v>
      </c>
      <c r="AU4" s="41" t="s">
        <v>75</v>
      </c>
      <c r="AV4" s="35" t="s">
        <v>99</v>
      </c>
      <c r="AW4" s="37" t="s">
        <v>93</v>
      </c>
      <c r="AX4" s="38" t="s">
        <v>84</v>
      </c>
      <c r="AY4" s="40" t="s">
        <v>222</v>
      </c>
    </row>
    <row r="5" customFormat="false" ht="30" hidden="false" customHeight="true" outlineLevel="0" collapsed="false">
      <c r="A5" s="33" t="n">
        <v>3</v>
      </c>
      <c r="B5" s="34" t="s">
        <v>190</v>
      </c>
      <c r="C5" s="34"/>
      <c r="D5" s="34" t="s">
        <v>223</v>
      </c>
      <c r="E5" s="34" t="s">
        <v>192</v>
      </c>
      <c r="F5" s="33" t="s">
        <v>193</v>
      </c>
      <c r="G5" s="34" t="s">
        <v>194</v>
      </c>
      <c r="H5" s="34" t="s">
        <v>213</v>
      </c>
      <c r="I5" s="34" t="s">
        <v>194</v>
      </c>
      <c r="J5" s="33" t="s">
        <v>194</v>
      </c>
      <c r="K5" s="34" t="s">
        <v>194</v>
      </c>
      <c r="L5" s="34" t="s">
        <v>194</v>
      </c>
      <c r="M5" s="34" t="s">
        <v>194</v>
      </c>
      <c r="N5" s="33" t="s">
        <v>214</v>
      </c>
      <c r="O5" s="34" t="s">
        <v>224</v>
      </c>
      <c r="P5" s="33" t="s">
        <v>194</v>
      </c>
      <c r="Q5" s="34" t="s">
        <v>225</v>
      </c>
      <c r="R5" s="34" t="s">
        <v>226</v>
      </c>
      <c r="S5" s="34" t="s">
        <v>200</v>
      </c>
      <c r="T5" s="33" t="s">
        <v>201</v>
      </c>
      <c r="U5" s="33" t="s">
        <v>194</v>
      </c>
      <c r="V5" s="33" t="s">
        <v>227</v>
      </c>
      <c r="W5" s="33"/>
      <c r="X5" s="33"/>
      <c r="Y5" s="34"/>
      <c r="Z5" s="35" t="s">
        <v>203</v>
      </c>
      <c r="AA5" s="34" t="s">
        <v>228</v>
      </c>
      <c r="AB5" s="34" t="s">
        <v>200</v>
      </c>
      <c r="AC5" s="33" t="s">
        <v>108</v>
      </c>
      <c r="AD5" s="33" t="s">
        <v>229</v>
      </c>
      <c r="AE5" s="33" t="s">
        <v>203</v>
      </c>
      <c r="AF5" s="33" t="s">
        <v>206</v>
      </c>
      <c r="AG5" s="33" t="s">
        <v>203</v>
      </c>
      <c r="AH5" s="33" t="s">
        <v>203</v>
      </c>
      <c r="AI5" s="33" t="s">
        <v>207</v>
      </c>
      <c r="AJ5" s="33" t="s">
        <v>194</v>
      </c>
      <c r="AK5" s="33" t="s">
        <v>194</v>
      </c>
      <c r="AL5" s="33"/>
      <c r="AM5" s="33"/>
      <c r="AN5" s="33"/>
      <c r="AO5" s="33"/>
      <c r="AP5" s="33"/>
      <c r="AQ5" s="33"/>
      <c r="AR5" s="34" t="s">
        <v>214</v>
      </c>
      <c r="AS5" s="34" t="s">
        <v>194</v>
      </c>
      <c r="AT5" s="34" t="s">
        <v>221</v>
      </c>
      <c r="AU5" s="41" t="s">
        <v>75</v>
      </c>
      <c r="AV5" s="35" t="s">
        <v>99</v>
      </c>
      <c r="AW5" s="36" t="s">
        <v>95</v>
      </c>
      <c r="AX5" s="42" t="s">
        <v>86</v>
      </c>
      <c r="AY5" s="34"/>
    </row>
    <row r="6" customFormat="false" ht="30" hidden="false" customHeight="true" outlineLevel="0" collapsed="false">
      <c r="A6" s="39" t="n">
        <v>4</v>
      </c>
      <c r="B6" s="40" t="s">
        <v>190</v>
      </c>
      <c r="C6" s="40"/>
      <c r="D6" s="40" t="s">
        <v>230</v>
      </c>
      <c r="E6" s="40" t="s">
        <v>192</v>
      </c>
      <c r="F6" s="39" t="s">
        <v>193</v>
      </c>
      <c r="G6" s="40" t="s">
        <v>194</v>
      </c>
      <c r="H6" s="40" t="s">
        <v>195</v>
      </c>
      <c r="I6" s="40" t="s">
        <v>194</v>
      </c>
      <c r="J6" s="39" t="s">
        <v>194</v>
      </c>
      <c r="K6" s="40" t="s">
        <v>194</v>
      </c>
      <c r="L6" s="40" t="s">
        <v>137</v>
      </c>
      <c r="M6" s="40" t="s">
        <v>194</v>
      </c>
      <c r="N6" s="39" t="s">
        <v>196</v>
      </c>
      <c r="O6" s="40" t="s">
        <v>231</v>
      </c>
      <c r="P6" s="39" t="s">
        <v>194</v>
      </c>
      <c r="Q6" s="40" t="s">
        <v>232</v>
      </c>
      <c r="R6" s="40" t="s">
        <v>233</v>
      </c>
      <c r="S6" s="40" t="s">
        <v>200</v>
      </c>
      <c r="T6" s="39" t="s">
        <v>201</v>
      </c>
      <c r="U6" s="39" t="s">
        <v>194</v>
      </c>
      <c r="V6" s="39"/>
      <c r="W6" s="39"/>
      <c r="X6" s="39"/>
      <c r="Y6" s="40"/>
      <c r="Z6" s="35" t="s">
        <v>203</v>
      </c>
      <c r="AA6" s="40" t="s">
        <v>234</v>
      </c>
      <c r="AB6" s="40" t="s">
        <v>200</v>
      </c>
      <c r="AC6" s="39" t="s">
        <v>108</v>
      </c>
      <c r="AD6" s="39" t="s">
        <v>205</v>
      </c>
      <c r="AE6" s="39" t="s">
        <v>203</v>
      </c>
      <c r="AF6" s="39" t="s">
        <v>206</v>
      </c>
      <c r="AG6" s="39" t="s">
        <v>203</v>
      </c>
      <c r="AH6" s="39" t="s">
        <v>203</v>
      </c>
      <c r="AI6" s="39" t="s">
        <v>207</v>
      </c>
      <c r="AJ6" s="39" t="s">
        <v>194</v>
      </c>
      <c r="AK6" s="39" t="s">
        <v>194</v>
      </c>
      <c r="AL6" s="39"/>
      <c r="AM6" s="39"/>
      <c r="AN6" s="39"/>
      <c r="AO6" s="39"/>
      <c r="AP6" s="39"/>
      <c r="AQ6" s="39"/>
      <c r="AR6" s="40" t="s">
        <v>196</v>
      </c>
      <c r="AS6" s="40" t="s">
        <v>209</v>
      </c>
      <c r="AT6" s="40" t="s">
        <v>210</v>
      </c>
      <c r="AU6" s="36" t="s">
        <v>73</v>
      </c>
      <c r="AV6" s="35" t="s">
        <v>99</v>
      </c>
      <c r="AW6" s="36" t="s">
        <v>95</v>
      </c>
      <c r="AX6" s="42" t="s">
        <v>86</v>
      </c>
      <c r="AY6" s="40" t="s">
        <v>235</v>
      </c>
    </row>
    <row r="7" customFormat="false" ht="30" hidden="false" customHeight="true" outlineLevel="0" collapsed="false">
      <c r="A7" s="33" t="n">
        <v>5</v>
      </c>
      <c r="B7" s="34" t="s">
        <v>190</v>
      </c>
      <c r="C7" s="34"/>
      <c r="D7" s="34" t="s">
        <v>236</v>
      </c>
      <c r="E7" s="34" t="s">
        <v>192</v>
      </c>
      <c r="F7" s="33" t="s">
        <v>193</v>
      </c>
      <c r="G7" s="34" t="s">
        <v>194</v>
      </c>
      <c r="H7" s="34" t="s">
        <v>213</v>
      </c>
      <c r="I7" s="34" t="s">
        <v>194</v>
      </c>
      <c r="J7" s="33" t="s">
        <v>194</v>
      </c>
      <c r="K7" s="34" t="s">
        <v>194</v>
      </c>
      <c r="L7" s="34" t="s">
        <v>194</v>
      </c>
      <c r="M7" s="34" t="s">
        <v>194</v>
      </c>
      <c r="N7" s="33" t="s">
        <v>214</v>
      </c>
      <c r="O7" s="34" t="s">
        <v>236</v>
      </c>
      <c r="P7" s="33" t="s">
        <v>194</v>
      </c>
      <c r="Q7" s="34" t="s">
        <v>237</v>
      </c>
      <c r="R7" s="34" t="s">
        <v>238</v>
      </c>
      <c r="S7" s="34" t="s">
        <v>200</v>
      </c>
      <c r="T7" s="33" t="s">
        <v>201</v>
      </c>
      <c r="U7" s="33" t="s">
        <v>194</v>
      </c>
      <c r="V7" s="33"/>
      <c r="W7" s="33"/>
      <c r="X7" s="33"/>
      <c r="Y7" s="34" t="s">
        <v>239</v>
      </c>
      <c r="Z7" s="35" t="s">
        <v>203</v>
      </c>
      <c r="AA7" s="34" t="s">
        <v>240</v>
      </c>
      <c r="AB7" s="34" t="s">
        <v>241</v>
      </c>
      <c r="AC7" s="33" t="s">
        <v>108</v>
      </c>
      <c r="AD7" s="33" t="s">
        <v>229</v>
      </c>
      <c r="AE7" s="33" t="s">
        <v>203</v>
      </c>
      <c r="AF7" s="33" t="s">
        <v>206</v>
      </c>
      <c r="AG7" s="33" t="s">
        <v>203</v>
      </c>
      <c r="AH7" s="33" t="s">
        <v>203</v>
      </c>
      <c r="AI7" s="33" t="s">
        <v>207</v>
      </c>
      <c r="AJ7" s="33" t="s">
        <v>194</v>
      </c>
      <c r="AK7" s="33" t="s">
        <v>194</v>
      </c>
      <c r="AL7" s="33"/>
      <c r="AM7" s="35" t="s">
        <v>208</v>
      </c>
      <c r="AN7" s="35" t="s">
        <v>208</v>
      </c>
      <c r="AO7" s="33"/>
      <c r="AP7" s="33"/>
      <c r="AQ7" s="33"/>
      <c r="AR7" s="34" t="s">
        <v>214</v>
      </c>
      <c r="AS7" s="34" t="s">
        <v>194</v>
      </c>
      <c r="AT7" s="34" t="s">
        <v>221</v>
      </c>
      <c r="AU7" s="41" t="s">
        <v>75</v>
      </c>
      <c r="AV7" s="35" t="s">
        <v>99</v>
      </c>
      <c r="AW7" s="37" t="s">
        <v>93</v>
      </c>
      <c r="AX7" s="38" t="s">
        <v>84</v>
      </c>
      <c r="AY7" s="34"/>
    </row>
    <row r="8" customFormat="false" ht="30" hidden="false" customHeight="true" outlineLevel="0" collapsed="false">
      <c r="A8" s="39" t="n">
        <v>6</v>
      </c>
      <c r="B8" s="40" t="s">
        <v>190</v>
      </c>
      <c r="C8" s="40"/>
      <c r="D8" s="40" t="s">
        <v>242</v>
      </c>
      <c r="E8" s="40" t="s">
        <v>192</v>
      </c>
      <c r="F8" s="39" t="s">
        <v>193</v>
      </c>
      <c r="G8" s="40" t="s">
        <v>194</v>
      </c>
      <c r="H8" s="40" t="s">
        <v>213</v>
      </c>
      <c r="I8" s="40" t="s">
        <v>194</v>
      </c>
      <c r="J8" s="39" t="s">
        <v>194</v>
      </c>
      <c r="K8" s="40" t="s">
        <v>194</v>
      </c>
      <c r="L8" s="40" t="s">
        <v>194</v>
      </c>
      <c r="M8" s="40" t="s">
        <v>194</v>
      </c>
      <c r="N8" s="39" t="s">
        <v>214</v>
      </c>
      <c r="O8" s="40" t="s">
        <v>243</v>
      </c>
      <c r="P8" s="39" t="s">
        <v>194</v>
      </c>
      <c r="Q8" s="40" t="s">
        <v>244</v>
      </c>
      <c r="R8" s="40" t="s">
        <v>245</v>
      </c>
      <c r="S8" s="40" t="s">
        <v>200</v>
      </c>
      <c r="T8" s="39" t="s">
        <v>201</v>
      </c>
      <c r="U8" s="39" t="s">
        <v>194</v>
      </c>
      <c r="V8" s="39"/>
      <c r="W8" s="39"/>
      <c r="X8" s="39"/>
      <c r="Y8" s="40"/>
      <c r="Z8" s="35" t="s">
        <v>203</v>
      </c>
      <c r="AA8" s="40" t="s">
        <v>246</v>
      </c>
      <c r="AB8" s="40" t="s">
        <v>247</v>
      </c>
      <c r="AC8" s="39" t="s">
        <v>108</v>
      </c>
      <c r="AD8" s="39" t="s">
        <v>229</v>
      </c>
      <c r="AE8" s="39" t="s">
        <v>203</v>
      </c>
      <c r="AF8" s="39" t="s">
        <v>206</v>
      </c>
      <c r="AG8" s="39" t="s">
        <v>203</v>
      </c>
      <c r="AH8" s="39" t="s">
        <v>203</v>
      </c>
      <c r="AI8" s="39" t="s">
        <v>207</v>
      </c>
      <c r="AJ8" s="39" t="s">
        <v>194</v>
      </c>
      <c r="AK8" s="39" t="s">
        <v>194</v>
      </c>
      <c r="AL8" s="39"/>
      <c r="AM8" s="39"/>
      <c r="AN8" s="39"/>
      <c r="AO8" s="39"/>
      <c r="AP8" s="39"/>
      <c r="AQ8" s="39"/>
      <c r="AR8" s="40" t="s">
        <v>214</v>
      </c>
      <c r="AS8" s="40" t="s">
        <v>194</v>
      </c>
      <c r="AT8" s="40" t="s">
        <v>221</v>
      </c>
      <c r="AU8" s="41" t="s">
        <v>75</v>
      </c>
      <c r="AV8" s="37" t="s">
        <v>103</v>
      </c>
      <c r="AW8" s="43" t="s">
        <v>97</v>
      </c>
      <c r="AX8" s="44" t="s">
        <v>88</v>
      </c>
      <c r="AY8" s="40" t="s">
        <v>248</v>
      </c>
    </row>
    <row r="9" customFormat="false" ht="30" hidden="false" customHeight="true" outlineLevel="0" collapsed="false">
      <c r="A9" s="33" t="n">
        <v>7</v>
      </c>
      <c r="B9" s="34" t="s">
        <v>190</v>
      </c>
      <c r="C9" s="34"/>
      <c r="D9" s="34" t="s">
        <v>249</v>
      </c>
      <c r="E9" s="34" t="s">
        <v>192</v>
      </c>
      <c r="F9" s="33" t="s">
        <v>193</v>
      </c>
      <c r="G9" s="34" t="s">
        <v>194</v>
      </c>
      <c r="H9" s="34" t="s">
        <v>213</v>
      </c>
      <c r="I9" s="34" t="s">
        <v>194</v>
      </c>
      <c r="J9" s="33" t="s">
        <v>194</v>
      </c>
      <c r="K9" s="34" t="s">
        <v>194</v>
      </c>
      <c r="L9" s="34" t="s">
        <v>194</v>
      </c>
      <c r="M9" s="34" t="s">
        <v>194</v>
      </c>
      <c r="N9" s="33" t="s">
        <v>214</v>
      </c>
      <c r="O9" s="34" t="s">
        <v>250</v>
      </c>
      <c r="P9" s="33" t="s">
        <v>194</v>
      </c>
      <c r="Q9" s="34" t="s">
        <v>251</v>
      </c>
      <c r="R9" s="34" t="s">
        <v>252</v>
      </c>
      <c r="S9" s="34" t="s">
        <v>200</v>
      </c>
      <c r="T9" s="33" t="s">
        <v>201</v>
      </c>
      <c r="U9" s="33" t="s">
        <v>194</v>
      </c>
      <c r="V9" s="33"/>
      <c r="W9" s="33"/>
      <c r="X9" s="33"/>
      <c r="Y9" s="34"/>
      <c r="Z9" s="35" t="s">
        <v>203</v>
      </c>
      <c r="AA9" s="34" t="s">
        <v>253</v>
      </c>
      <c r="AB9" s="34" t="s">
        <v>200</v>
      </c>
      <c r="AC9" s="33" t="s">
        <v>108</v>
      </c>
      <c r="AD9" s="33" t="s">
        <v>254</v>
      </c>
      <c r="AE9" s="33" t="s">
        <v>203</v>
      </c>
      <c r="AF9" s="33" t="s">
        <v>206</v>
      </c>
      <c r="AG9" s="33" t="s">
        <v>203</v>
      </c>
      <c r="AH9" s="33" t="s">
        <v>203</v>
      </c>
      <c r="AI9" s="33" t="s">
        <v>207</v>
      </c>
      <c r="AJ9" s="33" t="s">
        <v>194</v>
      </c>
      <c r="AK9" s="33" t="s">
        <v>194</v>
      </c>
      <c r="AL9" s="33"/>
      <c r="AM9" s="33"/>
      <c r="AN9" s="33"/>
      <c r="AO9" s="33"/>
      <c r="AP9" s="33"/>
      <c r="AQ9" s="33"/>
      <c r="AR9" s="34" t="s">
        <v>214</v>
      </c>
      <c r="AS9" s="34" t="s">
        <v>194</v>
      </c>
      <c r="AT9" s="34" t="s">
        <v>221</v>
      </c>
      <c r="AU9" s="41" t="s">
        <v>75</v>
      </c>
      <c r="AV9" s="35" t="s">
        <v>99</v>
      </c>
      <c r="AW9" s="36" t="s">
        <v>95</v>
      </c>
      <c r="AX9" s="42" t="s">
        <v>86</v>
      </c>
      <c r="AY9" s="34" t="s">
        <v>255</v>
      </c>
    </row>
    <row r="10" customFormat="false" ht="30" hidden="false" customHeight="true" outlineLevel="0" collapsed="false">
      <c r="A10" s="39" t="n">
        <v>8</v>
      </c>
      <c r="B10" s="40" t="s">
        <v>190</v>
      </c>
      <c r="C10" s="40"/>
      <c r="D10" s="40" t="s">
        <v>256</v>
      </c>
      <c r="E10" s="40" t="s">
        <v>192</v>
      </c>
      <c r="F10" s="39" t="s">
        <v>193</v>
      </c>
      <c r="G10" s="40" t="s">
        <v>194</v>
      </c>
      <c r="H10" s="40" t="s">
        <v>213</v>
      </c>
      <c r="I10" s="40" t="s">
        <v>194</v>
      </c>
      <c r="J10" s="39" t="s">
        <v>194</v>
      </c>
      <c r="K10" s="40" t="s">
        <v>194</v>
      </c>
      <c r="L10" s="40" t="s">
        <v>194</v>
      </c>
      <c r="M10" s="40" t="s">
        <v>194</v>
      </c>
      <c r="N10" s="39" t="s">
        <v>214</v>
      </c>
      <c r="O10" s="40" t="s">
        <v>257</v>
      </c>
      <c r="P10" s="39" t="s">
        <v>194</v>
      </c>
      <c r="Q10" s="40" t="s">
        <v>258</v>
      </c>
      <c r="R10" s="40" t="s">
        <v>259</v>
      </c>
      <c r="S10" s="40" t="s">
        <v>200</v>
      </c>
      <c r="T10" s="39" t="s">
        <v>201</v>
      </c>
      <c r="U10" s="39" t="s">
        <v>194</v>
      </c>
      <c r="V10" s="39" t="s">
        <v>260</v>
      </c>
      <c r="W10" s="39"/>
      <c r="X10" s="39"/>
      <c r="Y10" s="40"/>
      <c r="Z10" s="35" t="s">
        <v>203</v>
      </c>
      <c r="AA10" s="40" t="s">
        <v>261</v>
      </c>
      <c r="AB10" s="40" t="s">
        <v>200</v>
      </c>
      <c r="AC10" s="39" t="s">
        <v>108</v>
      </c>
      <c r="AD10" s="39" t="s">
        <v>262</v>
      </c>
      <c r="AE10" s="39" t="s">
        <v>203</v>
      </c>
      <c r="AF10" s="39" t="s">
        <v>206</v>
      </c>
      <c r="AG10" s="39" t="s">
        <v>203</v>
      </c>
      <c r="AH10" s="39" t="s">
        <v>203</v>
      </c>
      <c r="AI10" s="39" t="s">
        <v>207</v>
      </c>
      <c r="AJ10" s="39" t="s">
        <v>194</v>
      </c>
      <c r="AK10" s="39" t="s">
        <v>194</v>
      </c>
      <c r="AL10" s="39"/>
      <c r="AM10" s="39"/>
      <c r="AN10" s="35" t="s">
        <v>208</v>
      </c>
      <c r="AO10" s="39"/>
      <c r="AP10" s="39"/>
      <c r="AQ10" s="39"/>
      <c r="AR10" s="40" t="s">
        <v>214</v>
      </c>
      <c r="AS10" s="40" t="s">
        <v>194</v>
      </c>
      <c r="AT10" s="40" t="s">
        <v>221</v>
      </c>
      <c r="AU10" s="41" t="s">
        <v>75</v>
      </c>
      <c r="AV10" s="35" t="s">
        <v>99</v>
      </c>
      <c r="AW10" s="36" t="s">
        <v>95</v>
      </c>
      <c r="AX10" s="42" t="s">
        <v>86</v>
      </c>
      <c r="AY10" s="40" t="s">
        <v>263</v>
      </c>
    </row>
  </sheetData>
  <mergeCells count="1">
    <mergeCell ref="A1:A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8" min="18" style="0" width="34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1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22"/>
    <col collapsed="false" customWidth="true" hidden="false" outlineLevel="0" max="26" min="26" style="0" width="9"/>
    <col collapsed="false" customWidth="true" hidden="false" outlineLevel="0" max="27" min="27" style="0" width="30"/>
    <col collapsed="false" customWidth="true" hidden="false" outlineLevel="0" max="28" min="28" style="0" width="20"/>
    <col collapsed="false" customWidth="true" hidden="false" outlineLevel="0" max="29" min="29" style="0" width="13"/>
    <col collapsed="false" customWidth="true" hidden="false" outlineLevel="0" max="30" min="30" style="0" width="14"/>
    <col collapsed="false" customWidth="true" hidden="false" outlineLevel="0" max="31" min="31" style="0" width="9"/>
    <col collapsed="false" customWidth="true" hidden="false" outlineLevel="0" max="32" min="32" style="0" width="18"/>
    <col collapsed="false" customWidth="true" hidden="false" outlineLevel="0" max="33" min="33" style="0" width="9"/>
    <col collapsed="false" customWidth="true" hidden="false" outlineLevel="0" max="35" min="34" style="0" width="8"/>
    <col collapsed="false" customWidth="true" hidden="false" outlineLevel="0" max="37" min="36" style="0" width="11"/>
    <col collapsed="false" customWidth="true" hidden="false" outlineLevel="0" max="38" min="38" style="0" width="8"/>
    <col collapsed="false" customWidth="true" hidden="false" outlineLevel="0" max="39" min="39" style="0" width="6"/>
    <col collapsed="false" customWidth="true" hidden="false" outlineLevel="0" max="40" min="40" style="0" width="9"/>
    <col collapsed="false" customWidth="true" hidden="false" outlineLevel="0" max="41" min="41" style="0" width="8"/>
    <col collapsed="false" customWidth="true" hidden="false" outlineLevel="0" max="42" min="42" style="0" width="10"/>
    <col collapsed="false" customWidth="true" hidden="false" outlineLevel="0" max="43" min="43" style="0" width="7"/>
    <col collapsed="false" customWidth="true" hidden="false" outlineLevel="0" max="45" min="44" style="0" width="18"/>
    <col collapsed="false" customWidth="true" hidden="false" outlineLevel="0" max="47" min="46" style="0" width="22"/>
    <col collapsed="false" customWidth="true" hidden="false" outlineLevel="0" max="48" min="48" style="0" width="13"/>
    <col collapsed="false" customWidth="true" hidden="false" outlineLevel="0" max="49" min="49" style="0" width="11"/>
    <col collapsed="false" customWidth="true" hidden="false" outlineLevel="0" max="50" min="50" style="0" width="9"/>
    <col collapsed="false" customWidth="true" hidden="false" outlineLevel="0" max="51" min="51" style="0" width="40"/>
  </cols>
  <sheetData>
    <row r="1" customFormat="false" ht="21.75" hidden="false" customHeight="true" outlineLevel="0" collapsed="false">
      <c r="A1" s="31" t="s">
        <v>264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</row>
    <row r="2" customFormat="false" ht="19.4" hidden="false" customHeight="false" outlineLevel="0" collapsed="false">
      <c r="A2" s="32" t="s">
        <v>140</v>
      </c>
      <c r="B2" s="32" t="s">
        <v>141</v>
      </c>
      <c r="C2" s="32" t="s">
        <v>142</v>
      </c>
      <c r="D2" s="32" t="s">
        <v>143</v>
      </c>
      <c r="E2" s="32" t="s">
        <v>144</v>
      </c>
      <c r="F2" s="32" t="s">
        <v>145</v>
      </c>
      <c r="G2" s="32" t="s">
        <v>146</v>
      </c>
      <c r="H2" s="32" t="s">
        <v>147</v>
      </c>
      <c r="I2" s="32" t="s">
        <v>148</v>
      </c>
      <c r="J2" s="32" t="s">
        <v>149</v>
      </c>
      <c r="K2" s="32" t="s">
        <v>150</v>
      </c>
      <c r="L2" s="32" t="s">
        <v>151</v>
      </c>
      <c r="M2" s="32" t="s">
        <v>152</v>
      </c>
      <c r="N2" s="32" t="s">
        <v>153</v>
      </c>
      <c r="O2" s="32" t="s">
        <v>154</v>
      </c>
      <c r="P2" s="32" t="s">
        <v>155</v>
      </c>
      <c r="Q2" s="32" t="s">
        <v>156</v>
      </c>
      <c r="R2" s="32" t="s">
        <v>157</v>
      </c>
      <c r="S2" s="32" t="s">
        <v>117</v>
      </c>
      <c r="T2" s="32" t="s">
        <v>158</v>
      </c>
      <c r="U2" s="32" t="s">
        <v>159</v>
      </c>
      <c r="V2" s="32" t="s">
        <v>160</v>
      </c>
      <c r="W2" s="32" t="s">
        <v>161</v>
      </c>
      <c r="X2" s="32" t="s">
        <v>162</v>
      </c>
      <c r="Y2" s="32" t="s">
        <v>163</v>
      </c>
      <c r="Z2" s="32" t="s">
        <v>164</v>
      </c>
      <c r="AA2" s="32" t="s">
        <v>165</v>
      </c>
      <c r="AB2" s="32" t="s">
        <v>166</v>
      </c>
      <c r="AC2" s="32" t="s">
        <v>167</v>
      </c>
      <c r="AD2" s="32" t="s">
        <v>168</v>
      </c>
      <c r="AE2" s="32" t="s">
        <v>169</v>
      </c>
      <c r="AF2" s="32" t="s">
        <v>170</v>
      </c>
      <c r="AG2" s="32" t="s">
        <v>171</v>
      </c>
      <c r="AH2" s="32" t="s">
        <v>172</v>
      </c>
      <c r="AI2" s="32" t="s">
        <v>173</v>
      </c>
      <c r="AJ2" s="32" t="s">
        <v>174</v>
      </c>
      <c r="AK2" s="32" t="s">
        <v>175</v>
      </c>
      <c r="AL2" s="32" t="s">
        <v>176</v>
      </c>
      <c r="AM2" s="32" t="s">
        <v>177</v>
      </c>
      <c r="AN2" s="32" t="s">
        <v>178</v>
      </c>
      <c r="AO2" s="32" t="s">
        <v>179</v>
      </c>
      <c r="AP2" s="32" t="s">
        <v>180</v>
      </c>
      <c r="AQ2" s="32" t="s">
        <v>181</v>
      </c>
      <c r="AR2" s="32" t="s">
        <v>182</v>
      </c>
      <c r="AS2" s="32" t="s">
        <v>183</v>
      </c>
      <c r="AT2" s="32" t="s">
        <v>184</v>
      </c>
      <c r="AU2" s="32" t="s">
        <v>185</v>
      </c>
      <c r="AV2" s="32" t="s">
        <v>186</v>
      </c>
      <c r="AW2" s="32" t="s">
        <v>187</v>
      </c>
      <c r="AX2" s="32" t="s">
        <v>188</v>
      </c>
      <c r="AY2" s="32" t="s">
        <v>189</v>
      </c>
    </row>
    <row r="3" customFormat="false" ht="30" hidden="false" customHeight="true" outlineLevel="0" collapsed="false">
      <c r="A3" s="33" t="n">
        <v>1</v>
      </c>
      <c r="B3" s="34" t="s">
        <v>265</v>
      </c>
      <c r="C3" s="34" t="s">
        <v>266</v>
      </c>
      <c r="D3" s="34" t="s">
        <v>266</v>
      </c>
      <c r="E3" s="34" t="s">
        <v>267</v>
      </c>
      <c r="F3" s="33" t="s">
        <v>268</v>
      </c>
      <c r="G3" s="34" t="s">
        <v>269</v>
      </c>
      <c r="H3" s="34" t="s">
        <v>270</v>
      </c>
      <c r="I3" s="34" t="s">
        <v>271</v>
      </c>
      <c r="J3" s="33" t="s">
        <v>81</v>
      </c>
      <c r="K3" s="34" t="s">
        <v>194</v>
      </c>
      <c r="L3" s="34" t="s">
        <v>194</v>
      </c>
      <c r="M3" s="34" t="s">
        <v>272</v>
      </c>
      <c r="N3" s="33" t="s">
        <v>273</v>
      </c>
      <c r="O3" s="34" t="s">
        <v>274</v>
      </c>
      <c r="P3" s="33" t="s">
        <v>275</v>
      </c>
      <c r="Q3" s="34" t="s">
        <v>276</v>
      </c>
      <c r="R3" s="34" t="s">
        <v>277</v>
      </c>
      <c r="S3" s="34" t="s">
        <v>278</v>
      </c>
      <c r="T3" s="33" t="s">
        <v>279</v>
      </c>
      <c r="U3" s="33" t="s">
        <v>280</v>
      </c>
      <c r="V3" s="33" t="s">
        <v>281</v>
      </c>
      <c r="W3" s="33" t="s">
        <v>282</v>
      </c>
      <c r="X3" s="33" t="s">
        <v>283</v>
      </c>
      <c r="Y3" s="34"/>
      <c r="Z3" s="35" t="s">
        <v>203</v>
      </c>
      <c r="AA3" s="34" t="s">
        <v>284</v>
      </c>
      <c r="AB3" s="34" t="s">
        <v>285</v>
      </c>
      <c r="AC3" s="33" t="s">
        <v>106</v>
      </c>
      <c r="AD3" s="33" t="s">
        <v>286</v>
      </c>
      <c r="AE3" s="33" t="s">
        <v>203</v>
      </c>
      <c r="AF3" s="33" t="s">
        <v>206</v>
      </c>
      <c r="AG3" s="33" t="s">
        <v>203</v>
      </c>
      <c r="AH3" s="33" t="s">
        <v>203</v>
      </c>
      <c r="AI3" s="33" t="s">
        <v>207</v>
      </c>
      <c r="AJ3" s="33" t="s">
        <v>194</v>
      </c>
      <c r="AK3" s="33" t="s">
        <v>194</v>
      </c>
      <c r="AL3" s="35" t="s">
        <v>208</v>
      </c>
      <c r="AM3" s="35" t="s">
        <v>208</v>
      </c>
      <c r="AN3" s="35" t="s">
        <v>208</v>
      </c>
      <c r="AO3" s="33"/>
      <c r="AP3" s="33"/>
      <c r="AQ3" s="33"/>
      <c r="AR3" s="34" t="s">
        <v>273</v>
      </c>
      <c r="AS3" s="34" t="s">
        <v>287</v>
      </c>
      <c r="AT3" s="34" t="s">
        <v>288</v>
      </c>
      <c r="AU3" s="36" t="s">
        <v>67</v>
      </c>
      <c r="AV3" s="33" t="s">
        <v>81</v>
      </c>
      <c r="AW3" s="36" t="s">
        <v>95</v>
      </c>
      <c r="AX3" s="42" t="s">
        <v>86</v>
      </c>
      <c r="AY3" s="34" t="s">
        <v>289</v>
      </c>
    </row>
    <row r="4" customFormat="false" ht="30" hidden="false" customHeight="true" outlineLevel="0" collapsed="false">
      <c r="A4" s="39" t="n">
        <v>2</v>
      </c>
      <c r="B4" s="40" t="s">
        <v>265</v>
      </c>
      <c r="C4" s="40" t="s">
        <v>290</v>
      </c>
      <c r="D4" s="40" t="s">
        <v>291</v>
      </c>
      <c r="E4" s="40" t="s">
        <v>267</v>
      </c>
      <c r="F4" s="39" t="s">
        <v>268</v>
      </c>
      <c r="G4" s="40" t="s">
        <v>269</v>
      </c>
      <c r="H4" s="40" t="s">
        <v>270</v>
      </c>
      <c r="I4" s="40" t="s">
        <v>271</v>
      </c>
      <c r="J4" s="39" t="s">
        <v>81</v>
      </c>
      <c r="K4" s="40" t="s">
        <v>194</v>
      </c>
      <c r="L4" s="40" t="s">
        <v>194</v>
      </c>
      <c r="M4" s="40" t="s">
        <v>272</v>
      </c>
      <c r="N4" s="39" t="s">
        <v>273</v>
      </c>
      <c r="O4" s="40" t="s">
        <v>292</v>
      </c>
      <c r="P4" s="39" t="s">
        <v>275</v>
      </c>
      <c r="Q4" s="40" t="s">
        <v>293</v>
      </c>
      <c r="R4" s="40" t="s">
        <v>294</v>
      </c>
      <c r="S4" s="40" t="s">
        <v>295</v>
      </c>
      <c r="T4" s="39" t="s">
        <v>279</v>
      </c>
      <c r="U4" s="39" t="s">
        <v>296</v>
      </c>
      <c r="V4" s="39"/>
      <c r="W4" s="39" t="s">
        <v>297</v>
      </c>
      <c r="X4" s="39" t="s">
        <v>298</v>
      </c>
      <c r="Y4" s="40"/>
      <c r="Z4" s="35" t="s">
        <v>203</v>
      </c>
      <c r="AA4" s="40" t="s">
        <v>299</v>
      </c>
      <c r="AB4" s="40" t="s">
        <v>300</v>
      </c>
      <c r="AC4" s="39" t="s">
        <v>106</v>
      </c>
      <c r="AD4" s="39" t="s">
        <v>286</v>
      </c>
      <c r="AE4" s="39" t="s">
        <v>203</v>
      </c>
      <c r="AF4" s="39" t="s">
        <v>206</v>
      </c>
      <c r="AG4" s="39" t="s">
        <v>203</v>
      </c>
      <c r="AH4" s="39" t="s">
        <v>203</v>
      </c>
      <c r="AI4" s="39" t="s">
        <v>203</v>
      </c>
      <c r="AJ4" s="39" t="s">
        <v>81</v>
      </c>
      <c r="AK4" s="39" t="s">
        <v>194</v>
      </c>
      <c r="AL4" s="39"/>
      <c r="AM4" s="39"/>
      <c r="AN4" s="39"/>
      <c r="AO4" s="35" t="s">
        <v>208</v>
      </c>
      <c r="AP4" s="39"/>
      <c r="AQ4" s="39"/>
      <c r="AR4" s="40" t="s">
        <v>273</v>
      </c>
      <c r="AS4" s="40" t="s">
        <v>287</v>
      </c>
      <c r="AT4" s="40" t="s">
        <v>288</v>
      </c>
      <c r="AU4" s="36" t="s">
        <v>67</v>
      </c>
      <c r="AV4" s="33" t="s">
        <v>81</v>
      </c>
      <c r="AW4" s="36" t="s">
        <v>95</v>
      </c>
      <c r="AX4" s="42" t="s">
        <v>86</v>
      </c>
      <c r="AY4" s="40" t="s">
        <v>301</v>
      </c>
    </row>
    <row r="5" customFormat="false" ht="30" hidden="false" customHeight="true" outlineLevel="0" collapsed="false">
      <c r="A5" s="33" t="n">
        <v>3</v>
      </c>
      <c r="B5" s="34" t="s">
        <v>265</v>
      </c>
      <c r="C5" s="34" t="s">
        <v>290</v>
      </c>
      <c r="D5" s="34" t="s">
        <v>291</v>
      </c>
      <c r="E5" s="34" t="s">
        <v>267</v>
      </c>
      <c r="F5" s="33" t="s">
        <v>268</v>
      </c>
      <c r="G5" s="34" t="s">
        <v>269</v>
      </c>
      <c r="H5" s="34" t="s">
        <v>270</v>
      </c>
      <c r="I5" s="34" t="s">
        <v>271</v>
      </c>
      <c r="J5" s="33" t="s">
        <v>81</v>
      </c>
      <c r="K5" s="34" t="s">
        <v>194</v>
      </c>
      <c r="L5" s="34" t="s">
        <v>194</v>
      </c>
      <c r="M5" s="34" t="s">
        <v>272</v>
      </c>
      <c r="N5" s="33" t="s">
        <v>273</v>
      </c>
      <c r="O5" s="34" t="s">
        <v>302</v>
      </c>
      <c r="P5" s="33" t="s">
        <v>275</v>
      </c>
      <c r="Q5" s="34" t="s">
        <v>303</v>
      </c>
      <c r="R5" s="34" t="s">
        <v>304</v>
      </c>
      <c r="S5" s="34" t="s">
        <v>295</v>
      </c>
      <c r="T5" s="33" t="s">
        <v>279</v>
      </c>
      <c r="U5" s="33" t="s">
        <v>296</v>
      </c>
      <c r="V5" s="33"/>
      <c r="W5" s="33"/>
      <c r="X5" s="33"/>
      <c r="Y5" s="34"/>
      <c r="Z5" s="35" t="s">
        <v>203</v>
      </c>
      <c r="AA5" s="34" t="s">
        <v>299</v>
      </c>
      <c r="AB5" s="34" t="s">
        <v>300</v>
      </c>
      <c r="AC5" s="33" t="s">
        <v>106</v>
      </c>
      <c r="AD5" s="33" t="s">
        <v>286</v>
      </c>
      <c r="AE5" s="33" t="s">
        <v>203</v>
      </c>
      <c r="AF5" s="33" t="s">
        <v>206</v>
      </c>
      <c r="AG5" s="33" t="s">
        <v>203</v>
      </c>
      <c r="AH5" s="33" t="s">
        <v>203</v>
      </c>
      <c r="AI5" s="33" t="s">
        <v>203</v>
      </c>
      <c r="AJ5" s="33" t="s">
        <v>81</v>
      </c>
      <c r="AK5" s="33" t="s">
        <v>194</v>
      </c>
      <c r="AL5" s="33"/>
      <c r="AM5" s="33"/>
      <c r="AN5" s="33"/>
      <c r="AO5" s="35" t="s">
        <v>208</v>
      </c>
      <c r="AP5" s="33"/>
      <c r="AQ5" s="33"/>
      <c r="AR5" s="34" t="s">
        <v>273</v>
      </c>
      <c r="AS5" s="34" t="s">
        <v>287</v>
      </c>
      <c r="AT5" s="34" t="s">
        <v>288</v>
      </c>
      <c r="AU5" s="36" t="s">
        <v>67</v>
      </c>
      <c r="AV5" s="33" t="s">
        <v>81</v>
      </c>
      <c r="AW5" s="36" t="s">
        <v>95</v>
      </c>
      <c r="AX5" s="42" t="s">
        <v>86</v>
      </c>
      <c r="AY5" s="34" t="s">
        <v>305</v>
      </c>
    </row>
    <row r="6" customFormat="false" ht="30" hidden="false" customHeight="true" outlineLevel="0" collapsed="false">
      <c r="A6" s="39" t="n">
        <v>4</v>
      </c>
      <c r="B6" s="40" t="s">
        <v>265</v>
      </c>
      <c r="C6" s="40" t="s">
        <v>290</v>
      </c>
      <c r="D6" s="40" t="s">
        <v>306</v>
      </c>
      <c r="E6" s="40" t="s">
        <v>267</v>
      </c>
      <c r="F6" s="39" t="s">
        <v>268</v>
      </c>
      <c r="G6" s="40" t="s">
        <v>269</v>
      </c>
      <c r="H6" s="40" t="s">
        <v>270</v>
      </c>
      <c r="I6" s="40" t="s">
        <v>271</v>
      </c>
      <c r="J6" s="39" t="s">
        <v>81</v>
      </c>
      <c r="K6" s="40" t="s">
        <v>194</v>
      </c>
      <c r="L6" s="40" t="s">
        <v>194</v>
      </c>
      <c r="M6" s="40" t="s">
        <v>272</v>
      </c>
      <c r="N6" s="39" t="s">
        <v>273</v>
      </c>
      <c r="O6" s="40" t="s">
        <v>307</v>
      </c>
      <c r="P6" s="39" t="s">
        <v>275</v>
      </c>
      <c r="Q6" s="40" t="s">
        <v>308</v>
      </c>
      <c r="R6" s="40" t="s">
        <v>309</v>
      </c>
      <c r="S6" s="40" t="s">
        <v>295</v>
      </c>
      <c r="T6" s="39" t="s">
        <v>279</v>
      </c>
      <c r="U6" s="39" t="s">
        <v>296</v>
      </c>
      <c r="V6" s="39"/>
      <c r="W6" s="39" t="s">
        <v>310</v>
      </c>
      <c r="X6" s="39" t="s">
        <v>298</v>
      </c>
      <c r="Y6" s="40"/>
      <c r="Z6" s="35" t="s">
        <v>203</v>
      </c>
      <c r="AA6" s="40" t="s">
        <v>311</v>
      </c>
      <c r="AB6" s="40" t="s">
        <v>300</v>
      </c>
      <c r="AC6" s="39" t="s">
        <v>106</v>
      </c>
      <c r="AD6" s="39" t="s">
        <v>286</v>
      </c>
      <c r="AE6" s="39" t="s">
        <v>203</v>
      </c>
      <c r="AF6" s="39" t="s">
        <v>206</v>
      </c>
      <c r="AG6" s="39" t="s">
        <v>203</v>
      </c>
      <c r="AH6" s="39" t="s">
        <v>203</v>
      </c>
      <c r="AI6" s="39" t="s">
        <v>207</v>
      </c>
      <c r="AJ6" s="39" t="s">
        <v>194</v>
      </c>
      <c r="AK6" s="39" t="s">
        <v>194</v>
      </c>
      <c r="AL6" s="39"/>
      <c r="AM6" s="39"/>
      <c r="AN6" s="39"/>
      <c r="AO6" s="35" t="s">
        <v>208</v>
      </c>
      <c r="AP6" s="39"/>
      <c r="AQ6" s="39"/>
      <c r="AR6" s="40" t="s">
        <v>273</v>
      </c>
      <c r="AS6" s="40" t="s">
        <v>287</v>
      </c>
      <c r="AT6" s="40" t="s">
        <v>288</v>
      </c>
      <c r="AU6" s="36" t="s">
        <v>67</v>
      </c>
      <c r="AV6" s="33" t="s">
        <v>81</v>
      </c>
      <c r="AW6" s="43" t="s">
        <v>97</v>
      </c>
      <c r="AX6" s="44" t="s">
        <v>88</v>
      </c>
      <c r="AY6" s="40" t="s">
        <v>312</v>
      </c>
    </row>
    <row r="7" customFormat="false" ht="30" hidden="false" customHeight="true" outlineLevel="0" collapsed="false">
      <c r="A7" s="33" t="n">
        <v>5</v>
      </c>
      <c r="B7" s="34" t="s">
        <v>265</v>
      </c>
      <c r="C7" s="34" t="s">
        <v>313</v>
      </c>
      <c r="D7" s="34" t="s">
        <v>313</v>
      </c>
      <c r="E7" s="34" t="s">
        <v>267</v>
      </c>
      <c r="F7" s="33" t="s">
        <v>268</v>
      </c>
      <c r="G7" s="34" t="s">
        <v>269</v>
      </c>
      <c r="H7" s="34" t="s">
        <v>270</v>
      </c>
      <c r="I7" s="34" t="s">
        <v>271</v>
      </c>
      <c r="J7" s="33" t="s">
        <v>81</v>
      </c>
      <c r="K7" s="34" t="s">
        <v>194</v>
      </c>
      <c r="L7" s="34" t="s">
        <v>194</v>
      </c>
      <c r="M7" s="34" t="s">
        <v>272</v>
      </c>
      <c r="N7" s="33" t="s">
        <v>273</v>
      </c>
      <c r="O7" s="34" t="s">
        <v>314</v>
      </c>
      <c r="P7" s="33" t="s">
        <v>275</v>
      </c>
      <c r="Q7" s="34" t="s">
        <v>315</v>
      </c>
      <c r="R7" s="34" t="s">
        <v>316</v>
      </c>
      <c r="S7" s="34" t="s">
        <v>295</v>
      </c>
      <c r="T7" s="33" t="s">
        <v>279</v>
      </c>
      <c r="U7" s="33" t="s">
        <v>296</v>
      </c>
      <c r="V7" s="33"/>
      <c r="W7" s="33" t="s">
        <v>310</v>
      </c>
      <c r="X7" s="33" t="s">
        <v>298</v>
      </c>
      <c r="Y7" s="34"/>
      <c r="Z7" s="35" t="s">
        <v>203</v>
      </c>
      <c r="AA7" s="34" t="s">
        <v>317</v>
      </c>
      <c r="AB7" s="34" t="s">
        <v>300</v>
      </c>
      <c r="AC7" s="33" t="s">
        <v>106</v>
      </c>
      <c r="AD7" s="33" t="s">
        <v>286</v>
      </c>
      <c r="AE7" s="33" t="s">
        <v>203</v>
      </c>
      <c r="AF7" s="33" t="s">
        <v>206</v>
      </c>
      <c r="AG7" s="33" t="s">
        <v>203</v>
      </c>
      <c r="AH7" s="33" t="s">
        <v>203</v>
      </c>
      <c r="AI7" s="33" t="s">
        <v>207</v>
      </c>
      <c r="AJ7" s="33" t="s">
        <v>194</v>
      </c>
      <c r="AK7" s="33" t="s">
        <v>194</v>
      </c>
      <c r="AL7" s="33"/>
      <c r="AM7" s="33"/>
      <c r="AN7" s="33"/>
      <c r="AO7" s="33"/>
      <c r="AP7" s="33"/>
      <c r="AQ7" s="33"/>
      <c r="AR7" s="34" t="s">
        <v>273</v>
      </c>
      <c r="AS7" s="34" t="s">
        <v>287</v>
      </c>
      <c r="AT7" s="34" t="s">
        <v>288</v>
      </c>
      <c r="AU7" s="36" t="s">
        <v>67</v>
      </c>
      <c r="AV7" s="33" t="s">
        <v>81</v>
      </c>
      <c r="AW7" s="43" t="s">
        <v>97</v>
      </c>
      <c r="AX7" s="44" t="s">
        <v>88</v>
      </c>
      <c r="AY7" s="34"/>
    </row>
    <row r="8" customFormat="false" ht="30" hidden="false" customHeight="true" outlineLevel="0" collapsed="false">
      <c r="A8" s="39" t="n">
        <v>6</v>
      </c>
      <c r="B8" s="40" t="s">
        <v>265</v>
      </c>
      <c r="C8" s="40" t="s">
        <v>318</v>
      </c>
      <c r="D8" s="40" t="s">
        <v>318</v>
      </c>
      <c r="E8" s="40" t="s">
        <v>267</v>
      </c>
      <c r="F8" s="39" t="s">
        <v>268</v>
      </c>
      <c r="G8" s="40" t="s">
        <v>269</v>
      </c>
      <c r="H8" s="40" t="s">
        <v>270</v>
      </c>
      <c r="I8" s="40" t="s">
        <v>271</v>
      </c>
      <c r="J8" s="39" t="s">
        <v>81</v>
      </c>
      <c r="K8" s="40" t="s">
        <v>194</v>
      </c>
      <c r="L8" s="40" t="s">
        <v>194</v>
      </c>
      <c r="M8" s="40" t="s">
        <v>272</v>
      </c>
      <c r="N8" s="39" t="s">
        <v>273</v>
      </c>
      <c r="O8" s="40" t="s">
        <v>319</v>
      </c>
      <c r="P8" s="39" t="s">
        <v>275</v>
      </c>
      <c r="Q8" s="40" t="s">
        <v>320</v>
      </c>
      <c r="R8" s="40" t="s">
        <v>321</v>
      </c>
      <c r="S8" s="40" t="s">
        <v>295</v>
      </c>
      <c r="T8" s="39" t="s">
        <v>279</v>
      </c>
      <c r="U8" s="39" t="s">
        <v>322</v>
      </c>
      <c r="V8" s="39"/>
      <c r="W8" s="39"/>
      <c r="X8" s="39"/>
      <c r="Y8" s="40"/>
      <c r="Z8" s="35" t="s">
        <v>203</v>
      </c>
      <c r="AA8" s="40" t="s">
        <v>323</v>
      </c>
      <c r="AB8" s="40" t="s">
        <v>324</v>
      </c>
      <c r="AC8" s="39" t="s">
        <v>106</v>
      </c>
      <c r="AD8" s="39" t="s">
        <v>286</v>
      </c>
      <c r="AE8" s="39" t="s">
        <v>203</v>
      </c>
      <c r="AF8" s="39" t="s">
        <v>206</v>
      </c>
      <c r="AG8" s="39" t="s">
        <v>203</v>
      </c>
      <c r="AH8" s="39" t="s">
        <v>203</v>
      </c>
      <c r="AI8" s="39" t="s">
        <v>207</v>
      </c>
      <c r="AJ8" s="39" t="s">
        <v>194</v>
      </c>
      <c r="AK8" s="39" t="s">
        <v>194</v>
      </c>
      <c r="AL8" s="39"/>
      <c r="AM8" s="39"/>
      <c r="AN8" s="39"/>
      <c r="AO8" s="35" t="s">
        <v>208</v>
      </c>
      <c r="AP8" s="39"/>
      <c r="AQ8" s="39"/>
      <c r="AR8" s="40" t="s">
        <v>273</v>
      </c>
      <c r="AS8" s="40" t="s">
        <v>287</v>
      </c>
      <c r="AT8" s="40" t="s">
        <v>288</v>
      </c>
      <c r="AU8" s="36" t="s">
        <v>67</v>
      </c>
      <c r="AV8" s="33" t="s">
        <v>81</v>
      </c>
      <c r="AW8" s="36" t="s">
        <v>95</v>
      </c>
      <c r="AX8" s="42" t="s">
        <v>86</v>
      </c>
      <c r="AY8" s="40" t="s">
        <v>325</v>
      </c>
    </row>
    <row r="9" customFormat="false" ht="30" hidden="false" customHeight="true" outlineLevel="0" collapsed="false">
      <c r="A9" s="33" t="n">
        <v>7</v>
      </c>
      <c r="B9" s="34" t="s">
        <v>265</v>
      </c>
      <c r="C9" s="34" t="s">
        <v>326</v>
      </c>
      <c r="D9" s="34" t="s">
        <v>326</v>
      </c>
      <c r="E9" s="34" t="s">
        <v>267</v>
      </c>
      <c r="F9" s="33" t="s">
        <v>268</v>
      </c>
      <c r="G9" s="34" t="s">
        <v>269</v>
      </c>
      <c r="H9" s="34" t="s">
        <v>270</v>
      </c>
      <c r="I9" s="34" t="s">
        <v>271</v>
      </c>
      <c r="J9" s="33" t="s">
        <v>81</v>
      </c>
      <c r="K9" s="34" t="s">
        <v>194</v>
      </c>
      <c r="L9" s="34" t="s">
        <v>194</v>
      </c>
      <c r="M9" s="34" t="s">
        <v>272</v>
      </c>
      <c r="N9" s="33" t="s">
        <v>273</v>
      </c>
      <c r="O9" s="34" t="s">
        <v>327</v>
      </c>
      <c r="P9" s="33" t="s">
        <v>275</v>
      </c>
      <c r="Q9" s="34" t="s">
        <v>328</v>
      </c>
      <c r="R9" s="34" t="s">
        <v>329</v>
      </c>
      <c r="S9" s="34" t="s">
        <v>330</v>
      </c>
      <c r="T9" s="33" t="s">
        <v>331</v>
      </c>
      <c r="U9" s="33" t="s">
        <v>332</v>
      </c>
      <c r="V9" s="33"/>
      <c r="W9" s="33"/>
      <c r="X9" s="33"/>
      <c r="Y9" s="34" t="s">
        <v>333</v>
      </c>
      <c r="Z9" s="36" t="s">
        <v>97</v>
      </c>
      <c r="AA9" s="34" t="s">
        <v>334</v>
      </c>
      <c r="AB9" s="34" t="s">
        <v>180</v>
      </c>
      <c r="AC9" s="33" t="s">
        <v>108</v>
      </c>
      <c r="AD9" s="33" t="s">
        <v>335</v>
      </c>
      <c r="AE9" s="33" t="s">
        <v>203</v>
      </c>
      <c r="AF9" s="33" t="s">
        <v>206</v>
      </c>
      <c r="AG9" s="33" t="s">
        <v>203</v>
      </c>
      <c r="AH9" s="33" t="s">
        <v>203</v>
      </c>
      <c r="AI9" s="33" t="s">
        <v>207</v>
      </c>
      <c r="AJ9" s="33" t="s">
        <v>194</v>
      </c>
      <c r="AK9" s="33" t="s">
        <v>194</v>
      </c>
      <c r="AL9" s="33"/>
      <c r="AM9" s="33"/>
      <c r="AN9" s="33"/>
      <c r="AO9" s="33"/>
      <c r="AP9" s="35" t="s">
        <v>208</v>
      </c>
      <c r="AQ9" s="33"/>
      <c r="AR9" s="34" t="s">
        <v>273</v>
      </c>
      <c r="AS9" s="34" t="s">
        <v>287</v>
      </c>
      <c r="AT9" s="34" t="s">
        <v>288</v>
      </c>
      <c r="AU9" s="36" t="s">
        <v>67</v>
      </c>
      <c r="AV9" s="33" t="s">
        <v>81</v>
      </c>
      <c r="AW9" s="43" t="s">
        <v>97</v>
      </c>
      <c r="AX9" s="45" t="s">
        <v>90</v>
      </c>
      <c r="AY9" s="34"/>
    </row>
    <row r="10" customFormat="false" ht="30" hidden="false" customHeight="true" outlineLevel="0" collapsed="false">
      <c r="A10" s="39" t="n">
        <v>8</v>
      </c>
      <c r="B10" s="40" t="s">
        <v>265</v>
      </c>
      <c r="C10" s="40" t="s">
        <v>326</v>
      </c>
      <c r="D10" s="40" t="s">
        <v>326</v>
      </c>
      <c r="E10" s="40" t="s">
        <v>267</v>
      </c>
      <c r="F10" s="39" t="s">
        <v>268</v>
      </c>
      <c r="G10" s="40" t="s">
        <v>269</v>
      </c>
      <c r="H10" s="40" t="s">
        <v>270</v>
      </c>
      <c r="I10" s="40" t="s">
        <v>271</v>
      </c>
      <c r="J10" s="39" t="s">
        <v>81</v>
      </c>
      <c r="K10" s="40" t="s">
        <v>194</v>
      </c>
      <c r="L10" s="40" t="s">
        <v>194</v>
      </c>
      <c r="M10" s="40" t="s">
        <v>272</v>
      </c>
      <c r="N10" s="39" t="s">
        <v>273</v>
      </c>
      <c r="O10" s="40" t="s">
        <v>336</v>
      </c>
      <c r="P10" s="39" t="s">
        <v>275</v>
      </c>
      <c r="Q10" s="40" t="s">
        <v>337</v>
      </c>
      <c r="R10" s="40" t="s">
        <v>338</v>
      </c>
      <c r="S10" s="40" t="s">
        <v>330</v>
      </c>
      <c r="T10" s="39" t="s">
        <v>339</v>
      </c>
      <c r="U10" s="39" t="s">
        <v>194</v>
      </c>
      <c r="V10" s="39"/>
      <c r="W10" s="39"/>
      <c r="X10" s="39"/>
      <c r="Y10" s="40"/>
      <c r="Z10" s="36" t="s">
        <v>97</v>
      </c>
      <c r="AA10" s="40" t="s">
        <v>340</v>
      </c>
      <c r="AB10" s="40" t="s">
        <v>330</v>
      </c>
      <c r="AC10" s="39" t="s">
        <v>108</v>
      </c>
      <c r="AD10" s="39" t="s">
        <v>335</v>
      </c>
      <c r="AE10" s="39" t="s">
        <v>203</v>
      </c>
      <c r="AF10" s="39" t="s">
        <v>206</v>
      </c>
      <c r="AG10" s="39" t="s">
        <v>203</v>
      </c>
      <c r="AH10" s="39" t="s">
        <v>203</v>
      </c>
      <c r="AI10" s="39" t="s">
        <v>207</v>
      </c>
      <c r="AJ10" s="39" t="s">
        <v>194</v>
      </c>
      <c r="AK10" s="39" t="s">
        <v>194</v>
      </c>
      <c r="AL10" s="39"/>
      <c r="AM10" s="39"/>
      <c r="AN10" s="39"/>
      <c r="AO10" s="39"/>
      <c r="AP10" s="39"/>
      <c r="AQ10" s="39"/>
      <c r="AR10" s="40" t="s">
        <v>273</v>
      </c>
      <c r="AS10" s="40" t="s">
        <v>287</v>
      </c>
      <c r="AT10" s="40" t="s">
        <v>288</v>
      </c>
      <c r="AU10" s="36" t="s">
        <v>67</v>
      </c>
      <c r="AV10" s="33" t="s">
        <v>81</v>
      </c>
      <c r="AW10" s="43" t="s">
        <v>97</v>
      </c>
      <c r="AX10" s="45" t="s">
        <v>90</v>
      </c>
      <c r="AY10" s="40"/>
    </row>
    <row r="11" customFormat="false" ht="30" hidden="false" customHeight="true" outlineLevel="0" collapsed="false">
      <c r="A11" s="33" t="n">
        <v>9</v>
      </c>
      <c r="B11" s="34" t="s">
        <v>265</v>
      </c>
      <c r="C11" s="34" t="s">
        <v>341</v>
      </c>
      <c r="D11" s="34" t="s">
        <v>342</v>
      </c>
      <c r="E11" s="34" t="s">
        <v>267</v>
      </c>
      <c r="F11" s="33" t="s">
        <v>268</v>
      </c>
      <c r="G11" s="34" t="s">
        <v>194</v>
      </c>
      <c r="H11" s="34" t="s">
        <v>195</v>
      </c>
      <c r="I11" s="34" t="s">
        <v>194</v>
      </c>
      <c r="J11" s="33" t="s">
        <v>194</v>
      </c>
      <c r="K11" s="34" t="s">
        <v>194</v>
      </c>
      <c r="L11" s="34" t="s">
        <v>137</v>
      </c>
      <c r="M11" s="34" t="s">
        <v>194</v>
      </c>
      <c r="N11" s="33" t="s">
        <v>196</v>
      </c>
      <c r="O11" s="34" t="s">
        <v>343</v>
      </c>
      <c r="P11" s="33" t="s">
        <v>194</v>
      </c>
      <c r="Q11" s="34" t="s">
        <v>344</v>
      </c>
      <c r="R11" s="34" t="s">
        <v>345</v>
      </c>
      <c r="S11" s="34" t="s">
        <v>178</v>
      </c>
      <c r="T11" s="33" t="s">
        <v>279</v>
      </c>
      <c r="U11" s="33" t="s">
        <v>322</v>
      </c>
      <c r="V11" s="33" t="s">
        <v>346</v>
      </c>
      <c r="W11" s="33"/>
      <c r="X11" s="33"/>
      <c r="Y11" s="34"/>
      <c r="Z11" s="35" t="s">
        <v>203</v>
      </c>
      <c r="AA11" s="34" t="s">
        <v>347</v>
      </c>
      <c r="AB11" s="34" t="s">
        <v>348</v>
      </c>
      <c r="AC11" s="33" t="s">
        <v>108</v>
      </c>
      <c r="AD11" s="33" t="s">
        <v>205</v>
      </c>
      <c r="AE11" s="33" t="s">
        <v>203</v>
      </c>
      <c r="AF11" s="33" t="s">
        <v>206</v>
      </c>
      <c r="AG11" s="33" t="s">
        <v>203</v>
      </c>
      <c r="AH11" s="33" t="s">
        <v>203</v>
      </c>
      <c r="AI11" s="33" t="s">
        <v>207</v>
      </c>
      <c r="AJ11" s="33" t="s">
        <v>194</v>
      </c>
      <c r="AK11" s="33" t="s">
        <v>194</v>
      </c>
      <c r="AL11" s="33"/>
      <c r="AM11" s="33"/>
      <c r="AN11" s="35" t="s">
        <v>208</v>
      </c>
      <c r="AO11" s="33"/>
      <c r="AP11" s="33"/>
      <c r="AQ11" s="33"/>
      <c r="AR11" s="34" t="s">
        <v>196</v>
      </c>
      <c r="AS11" s="34" t="s">
        <v>209</v>
      </c>
      <c r="AT11" s="34" t="s">
        <v>210</v>
      </c>
      <c r="AU11" s="36" t="s">
        <v>73</v>
      </c>
      <c r="AV11" s="33" t="s">
        <v>81</v>
      </c>
      <c r="AW11" s="36" t="s">
        <v>95</v>
      </c>
      <c r="AX11" s="42" t="s">
        <v>86</v>
      </c>
      <c r="AY11" s="34" t="s">
        <v>349</v>
      </c>
    </row>
    <row r="12" customFormat="false" ht="30" hidden="false" customHeight="true" outlineLevel="0" collapsed="false">
      <c r="A12" s="39" t="n">
        <v>10</v>
      </c>
      <c r="B12" s="40" t="s">
        <v>265</v>
      </c>
      <c r="C12" s="40" t="s">
        <v>200</v>
      </c>
      <c r="D12" s="40" t="s">
        <v>342</v>
      </c>
      <c r="E12" s="40" t="s">
        <v>267</v>
      </c>
      <c r="F12" s="39" t="s">
        <v>268</v>
      </c>
      <c r="G12" s="40" t="s">
        <v>194</v>
      </c>
      <c r="H12" s="40" t="s">
        <v>195</v>
      </c>
      <c r="I12" s="40" t="s">
        <v>194</v>
      </c>
      <c r="J12" s="39" t="s">
        <v>194</v>
      </c>
      <c r="K12" s="40" t="s">
        <v>194</v>
      </c>
      <c r="L12" s="40" t="s">
        <v>137</v>
      </c>
      <c r="M12" s="40" t="s">
        <v>194</v>
      </c>
      <c r="N12" s="39" t="s">
        <v>196</v>
      </c>
      <c r="O12" s="40" t="s">
        <v>350</v>
      </c>
      <c r="P12" s="39" t="s">
        <v>194</v>
      </c>
      <c r="Q12" s="40" t="s">
        <v>351</v>
      </c>
      <c r="R12" s="40" t="s">
        <v>352</v>
      </c>
      <c r="S12" s="40" t="s">
        <v>200</v>
      </c>
      <c r="T12" s="39" t="s">
        <v>201</v>
      </c>
      <c r="U12" s="39" t="s">
        <v>194</v>
      </c>
      <c r="V12" s="39" t="s">
        <v>353</v>
      </c>
      <c r="W12" s="39"/>
      <c r="X12" s="39"/>
      <c r="Y12" s="40"/>
      <c r="Z12" s="35" t="s">
        <v>203</v>
      </c>
      <c r="AA12" s="40" t="s">
        <v>354</v>
      </c>
      <c r="AB12" s="40" t="s">
        <v>348</v>
      </c>
      <c r="AC12" s="39" t="s">
        <v>108</v>
      </c>
      <c r="AD12" s="39" t="s">
        <v>205</v>
      </c>
      <c r="AE12" s="39" t="s">
        <v>203</v>
      </c>
      <c r="AF12" s="39" t="s">
        <v>206</v>
      </c>
      <c r="AG12" s="39" t="s">
        <v>203</v>
      </c>
      <c r="AH12" s="39" t="s">
        <v>203</v>
      </c>
      <c r="AI12" s="39" t="s">
        <v>207</v>
      </c>
      <c r="AJ12" s="39" t="s">
        <v>194</v>
      </c>
      <c r="AK12" s="39" t="s">
        <v>194</v>
      </c>
      <c r="AL12" s="39"/>
      <c r="AM12" s="39"/>
      <c r="AN12" s="39"/>
      <c r="AO12" s="35" t="s">
        <v>208</v>
      </c>
      <c r="AP12" s="39"/>
      <c r="AQ12" s="39"/>
      <c r="AR12" s="40" t="s">
        <v>196</v>
      </c>
      <c r="AS12" s="40" t="s">
        <v>209</v>
      </c>
      <c r="AT12" s="40" t="s">
        <v>210</v>
      </c>
      <c r="AU12" s="36" t="s">
        <v>73</v>
      </c>
      <c r="AV12" s="33" t="s">
        <v>81</v>
      </c>
      <c r="AW12" s="36" t="s">
        <v>95</v>
      </c>
      <c r="AX12" s="42" t="s">
        <v>86</v>
      </c>
      <c r="AY12" s="40" t="s">
        <v>355</v>
      </c>
    </row>
  </sheetData>
  <mergeCells count="1">
    <mergeCell ref="A1:A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8" min="18" style="0" width="34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1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22"/>
    <col collapsed="false" customWidth="true" hidden="false" outlineLevel="0" max="26" min="26" style="0" width="9"/>
    <col collapsed="false" customWidth="true" hidden="false" outlineLevel="0" max="27" min="27" style="0" width="30"/>
    <col collapsed="false" customWidth="true" hidden="false" outlineLevel="0" max="28" min="28" style="0" width="20"/>
    <col collapsed="false" customWidth="true" hidden="false" outlineLevel="0" max="29" min="29" style="0" width="13"/>
    <col collapsed="false" customWidth="true" hidden="false" outlineLevel="0" max="30" min="30" style="0" width="14"/>
    <col collapsed="false" customWidth="true" hidden="false" outlineLevel="0" max="31" min="31" style="0" width="9"/>
    <col collapsed="false" customWidth="true" hidden="false" outlineLevel="0" max="32" min="32" style="0" width="18"/>
    <col collapsed="false" customWidth="true" hidden="false" outlineLevel="0" max="33" min="33" style="0" width="9"/>
    <col collapsed="false" customWidth="true" hidden="false" outlineLevel="0" max="35" min="34" style="0" width="8"/>
    <col collapsed="false" customWidth="true" hidden="false" outlineLevel="0" max="37" min="36" style="0" width="11"/>
    <col collapsed="false" customWidth="true" hidden="false" outlineLevel="0" max="38" min="38" style="0" width="8"/>
    <col collapsed="false" customWidth="true" hidden="false" outlineLevel="0" max="39" min="39" style="0" width="6"/>
    <col collapsed="false" customWidth="true" hidden="false" outlineLevel="0" max="40" min="40" style="0" width="9"/>
    <col collapsed="false" customWidth="true" hidden="false" outlineLevel="0" max="41" min="41" style="0" width="8"/>
    <col collapsed="false" customWidth="true" hidden="false" outlineLevel="0" max="42" min="42" style="0" width="10"/>
    <col collapsed="false" customWidth="true" hidden="false" outlineLevel="0" max="43" min="43" style="0" width="7"/>
    <col collapsed="false" customWidth="true" hidden="false" outlineLevel="0" max="45" min="44" style="0" width="18"/>
    <col collapsed="false" customWidth="true" hidden="false" outlineLevel="0" max="47" min="46" style="0" width="22"/>
    <col collapsed="false" customWidth="true" hidden="false" outlineLevel="0" max="48" min="48" style="0" width="13"/>
    <col collapsed="false" customWidth="true" hidden="false" outlineLevel="0" max="49" min="49" style="0" width="11"/>
    <col collapsed="false" customWidth="true" hidden="false" outlineLevel="0" max="50" min="50" style="0" width="9"/>
    <col collapsed="false" customWidth="true" hidden="false" outlineLevel="0" max="51" min="51" style="0" width="40"/>
  </cols>
  <sheetData>
    <row r="1" customFormat="false" ht="21.75" hidden="false" customHeight="true" outlineLevel="0" collapsed="false">
      <c r="A1" s="31" t="s">
        <v>356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</row>
    <row r="2" customFormat="false" ht="19.4" hidden="false" customHeight="false" outlineLevel="0" collapsed="false">
      <c r="A2" s="32" t="s">
        <v>140</v>
      </c>
      <c r="B2" s="32" t="s">
        <v>141</v>
      </c>
      <c r="C2" s="32" t="s">
        <v>142</v>
      </c>
      <c r="D2" s="32" t="s">
        <v>143</v>
      </c>
      <c r="E2" s="32" t="s">
        <v>144</v>
      </c>
      <c r="F2" s="32" t="s">
        <v>145</v>
      </c>
      <c r="G2" s="32" t="s">
        <v>146</v>
      </c>
      <c r="H2" s="32" t="s">
        <v>147</v>
      </c>
      <c r="I2" s="32" t="s">
        <v>148</v>
      </c>
      <c r="J2" s="32" t="s">
        <v>149</v>
      </c>
      <c r="K2" s="32" t="s">
        <v>150</v>
      </c>
      <c r="L2" s="32" t="s">
        <v>151</v>
      </c>
      <c r="M2" s="32" t="s">
        <v>152</v>
      </c>
      <c r="N2" s="32" t="s">
        <v>153</v>
      </c>
      <c r="O2" s="32" t="s">
        <v>154</v>
      </c>
      <c r="P2" s="32" t="s">
        <v>155</v>
      </c>
      <c r="Q2" s="32" t="s">
        <v>156</v>
      </c>
      <c r="R2" s="32" t="s">
        <v>157</v>
      </c>
      <c r="S2" s="32" t="s">
        <v>117</v>
      </c>
      <c r="T2" s="32" t="s">
        <v>158</v>
      </c>
      <c r="U2" s="32" t="s">
        <v>159</v>
      </c>
      <c r="V2" s="32" t="s">
        <v>160</v>
      </c>
      <c r="W2" s="32" t="s">
        <v>161</v>
      </c>
      <c r="X2" s="32" t="s">
        <v>162</v>
      </c>
      <c r="Y2" s="32" t="s">
        <v>163</v>
      </c>
      <c r="Z2" s="32" t="s">
        <v>164</v>
      </c>
      <c r="AA2" s="32" t="s">
        <v>165</v>
      </c>
      <c r="AB2" s="32" t="s">
        <v>166</v>
      </c>
      <c r="AC2" s="32" t="s">
        <v>167</v>
      </c>
      <c r="AD2" s="32" t="s">
        <v>168</v>
      </c>
      <c r="AE2" s="32" t="s">
        <v>169</v>
      </c>
      <c r="AF2" s="32" t="s">
        <v>170</v>
      </c>
      <c r="AG2" s="32" t="s">
        <v>171</v>
      </c>
      <c r="AH2" s="32" t="s">
        <v>172</v>
      </c>
      <c r="AI2" s="32" t="s">
        <v>173</v>
      </c>
      <c r="AJ2" s="32" t="s">
        <v>174</v>
      </c>
      <c r="AK2" s="32" t="s">
        <v>175</v>
      </c>
      <c r="AL2" s="32" t="s">
        <v>176</v>
      </c>
      <c r="AM2" s="32" t="s">
        <v>177</v>
      </c>
      <c r="AN2" s="32" t="s">
        <v>178</v>
      </c>
      <c r="AO2" s="32" t="s">
        <v>179</v>
      </c>
      <c r="AP2" s="32" t="s">
        <v>180</v>
      </c>
      <c r="AQ2" s="32" t="s">
        <v>181</v>
      </c>
      <c r="AR2" s="32" t="s">
        <v>182</v>
      </c>
      <c r="AS2" s="32" t="s">
        <v>183</v>
      </c>
      <c r="AT2" s="32" t="s">
        <v>184</v>
      </c>
      <c r="AU2" s="32" t="s">
        <v>185</v>
      </c>
      <c r="AV2" s="32" t="s">
        <v>186</v>
      </c>
      <c r="AW2" s="32" t="s">
        <v>187</v>
      </c>
      <c r="AX2" s="32" t="s">
        <v>188</v>
      </c>
      <c r="AY2" s="32" t="s">
        <v>189</v>
      </c>
    </row>
    <row r="3" customFormat="false" ht="30" hidden="false" customHeight="true" outlineLevel="0" collapsed="false">
      <c r="A3" s="33" t="n">
        <v>1</v>
      </c>
      <c r="B3" s="34" t="s">
        <v>357</v>
      </c>
      <c r="C3" s="34" t="s">
        <v>266</v>
      </c>
      <c r="D3" s="34" t="s">
        <v>266</v>
      </c>
      <c r="E3" s="34" t="s">
        <v>358</v>
      </c>
      <c r="F3" s="33" t="s">
        <v>359</v>
      </c>
      <c r="G3" s="34" t="s">
        <v>269</v>
      </c>
      <c r="H3" s="34" t="s">
        <v>360</v>
      </c>
      <c r="I3" s="34" t="s">
        <v>361</v>
      </c>
      <c r="J3" s="33" t="s">
        <v>81</v>
      </c>
      <c r="K3" s="34" t="s">
        <v>194</v>
      </c>
      <c r="L3" s="34" t="s">
        <v>194</v>
      </c>
      <c r="M3" s="34" t="s">
        <v>362</v>
      </c>
      <c r="N3" s="33" t="s">
        <v>363</v>
      </c>
      <c r="O3" s="34" t="s">
        <v>364</v>
      </c>
      <c r="P3" s="33" t="s">
        <v>275</v>
      </c>
      <c r="Q3" s="34" t="s">
        <v>365</v>
      </c>
      <c r="R3" s="34" t="s">
        <v>366</v>
      </c>
      <c r="S3" s="34" t="s">
        <v>278</v>
      </c>
      <c r="T3" s="33" t="s">
        <v>279</v>
      </c>
      <c r="U3" s="33" t="s">
        <v>280</v>
      </c>
      <c r="V3" s="33"/>
      <c r="W3" s="33"/>
      <c r="X3" s="33"/>
      <c r="Y3" s="34"/>
      <c r="Z3" s="35" t="s">
        <v>203</v>
      </c>
      <c r="AA3" s="34" t="s">
        <v>367</v>
      </c>
      <c r="AB3" s="34" t="s">
        <v>285</v>
      </c>
      <c r="AC3" s="33" t="s">
        <v>106</v>
      </c>
      <c r="AD3" s="33" t="s">
        <v>286</v>
      </c>
      <c r="AE3" s="33" t="s">
        <v>203</v>
      </c>
      <c r="AF3" s="33" t="s">
        <v>206</v>
      </c>
      <c r="AG3" s="33" t="s">
        <v>203</v>
      </c>
      <c r="AH3" s="33" t="s">
        <v>203</v>
      </c>
      <c r="AI3" s="33" t="s">
        <v>207</v>
      </c>
      <c r="AJ3" s="33" t="s">
        <v>194</v>
      </c>
      <c r="AK3" s="33" t="s">
        <v>194</v>
      </c>
      <c r="AL3" s="35" t="s">
        <v>208</v>
      </c>
      <c r="AM3" s="35" t="s">
        <v>208</v>
      </c>
      <c r="AN3" s="35" t="s">
        <v>208</v>
      </c>
      <c r="AO3" s="33"/>
      <c r="AP3" s="33"/>
      <c r="AQ3" s="33"/>
      <c r="AR3" s="34" t="s">
        <v>363</v>
      </c>
      <c r="AS3" s="34" t="s">
        <v>287</v>
      </c>
      <c r="AT3" s="34" t="s">
        <v>288</v>
      </c>
      <c r="AU3" s="36" t="s">
        <v>67</v>
      </c>
      <c r="AV3" s="33" t="s">
        <v>81</v>
      </c>
      <c r="AW3" s="36" t="s">
        <v>95</v>
      </c>
      <c r="AX3" s="42" t="s">
        <v>86</v>
      </c>
      <c r="AY3" s="34" t="s">
        <v>368</v>
      </c>
    </row>
    <row r="4" customFormat="false" ht="30" hidden="false" customHeight="true" outlineLevel="0" collapsed="false">
      <c r="A4" s="39" t="n">
        <v>2</v>
      </c>
      <c r="B4" s="40" t="s">
        <v>357</v>
      </c>
      <c r="C4" s="40" t="s">
        <v>369</v>
      </c>
      <c r="D4" s="40" t="s">
        <v>369</v>
      </c>
      <c r="E4" s="40" t="s">
        <v>358</v>
      </c>
      <c r="F4" s="39" t="s">
        <v>359</v>
      </c>
      <c r="G4" s="40" t="s">
        <v>269</v>
      </c>
      <c r="H4" s="40" t="s">
        <v>360</v>
      </c>
      <c r="I4" s="40" t="s">
        <v>361</v>
      </c>
      <c r="J4" s="39" t="s">
        <v>81</v>
      </c>
      <c r="K4" s="40" t="s">
        <v>194</v>
      </c>
      <c r="L4" s="40" t="s">
        <v>194</v>
      </c>
      <c r="M4" s="40" t="s">
        <v>362</v>
      </c>
      <c r="N4" s="39" t="s">
        <v>363</v>
      </c>
      <c r="O4" s="40" t="s">
        <v>370</v>
      </c>
      <c r="P4" s="39" t="s">
        <v>275</v>
      </c>
      <c r="Q4" s="40" t="s">
        <v>371</v>
      </c>
      <c r="R4" s="40" t="s">
        <v>372</v>
      </c>
      <c r="S4" s="40" t="s">
        <v>295</v>
      </c>
      <c r="T4" s="39" t="s">
        <v>279</v>
      </c>
      <c r="U4" s="39" t="s">
        <v>322</v>
      </c>
      <c r="V4" s="39"/>
      <c r="W4" s="39"/>
      <c r="X4" s="39"/>
      <c r="Y4" s="40"/>
      <c r="Z4" s="36" t="s">
        <v>97</v>
      </c>
      <c r="AA4" s="40" t="s">
        <v>373</v>
      </c>
      <c r="AB4" s="40" t="s">
        <v>300</v>
      </c>
      <c r="AC4" s="39" t="s">
        <v>106</v>
      </c>
      <c r="AD4" s="39" t="s">
        <v>286</v>
      </c>
      <c r="AE4" s="39" t="s">
        <v>203</v>
      </c>
      <c r="AF4" s="39" t="s">
        <v>206</v>
      </c>
      <c r="AG4" s="39" t="s">
        <v>203</v>
      </c>
      <c r="AH4" s="39" t="s">
        <v>203</v>
      </c>
      <c r="AI4" s="39" t="s">
        <v>207</v>
      </c>
      <c r="AJ4" s="39" t="s">
        <v>194</v>
      </c>
      <c r="AK4" s="39" t="s">
        <v>194</v>
      </c>
      <c r="AL4" s="39"/>
      <c r="AM4" s="39"/>
      <c r="AN4" s="39"/>
      <c r="AO4" s="39"/>
      <c r="AP4" s="39"/>
      <c r="AQ4" s="39"/>
      <c r="AR4" s="40" t="s">
        <v>363</v>
      </c>
      <c r="AS4" s="40" t="s">
        <v>287</v>
      </c>
      <c r="AT4" s="40" t="s">
        <v>288</v>
      </c>
      <c r="AU4" s="36" t="s">
        <v>67</v>
      </c>
      <c r="AV4" s="33" t="s">
        <v>81</v>
      </c>
      <c r="AW4" s="43" t="s">
        <v>97</v>
      </c>
      <c r="AX4" s="44" t="s">
        <v>88</v>
      </c>
      <c r="AY4" s="40"/>
    </row>
    <row r="5" customFormat="false" ht="30" hidden="false" customHeight="true" outlineLevel="0" collapsed="false">
      <c r="A5" s="33" t="n">
        <v>3</v>
      </c>
      <c r="B5" s="34" t="s">
        <v>357</v>
      </c>
      <c r="C5" s="34" t="s">
        <v>374</v>
      </c>
      <c r="D5" s="34" t="s">
        <v>374</v>
      </c>
      <c r="E5" s="34" t="s">
        <v>358</v>
      </c>
      <c r="F5" s="33" t="s">
        <v>359</v>
      </c>
      <c r="G5" s="34" t="s">
        <v>269</v>
      </c>
      <c r="H5" s="34" t="s">
        <v>360</v>
      </c>
      <c r="I5" s="34" t="s">
        <v>361</v>
      </c>
      <c r="J5" s="33" t="s">
        <v>81</v>
      </c>
      <c r="K5" s="34" t="s">
        <v>194</v>
      </c>
      <c r="L5" s="34" t="s">
        <v>194</v>
      </c>
      <c r="M5" s="34" t="s">
        <v>362</v>
      </c>
      <c r="N5" s="33" t="s">
        <v>363</v>
      </c>
      <c r="O5" s="34" t="s">
        <v>375</v>
      </c>
      <c r="P5" s="33" t="s">
        <v>275</v>
      </c>
      <c r="Q5" s="34" t="s">
        <v>376</v>
      </c>
      <c r="R5" s="34" t="s">
        <v>377</v>
      </c>
      <c r="S5" s="34" t="s">
        <v>295</v>
      </c>
      <c r="T5" s="33" t="s">
        <v>279</v>
      </c>
      <c r="U5" s="33" t="s">
        <v>378</v>
      </c>
      <c r="V5" s="33"/>
      <c r="W5" s="33"/>
      <c r="X5" s="33"/>
      <c r="Y5" s="34"/>
      <c r="Z5" s="35" t="s">
        <v>203</v>
      </c>
      <c r="AA5" s="34" t="s">
        <v>379</v>
      </c>
      <c r="AB5" s="34" t="s">
        <v>300</v>
      </c>
      <c r="AC5" s="33" t="s">
        <v>106</v>
      </c>
      <c r="AD5" s="33" t="s">
        <v>286</v>
      </c>
      <c r="AE5" s="33" t="s">
        <v>203</v>
      </c>
      <c r="AF5" s="33" t="s">
        <v>206</v>
      </c>
      <c r="AG5" s="33" t="s">
        <v>203</v>
      </c>
      <c r="AH5" s="33" t="s">
        <v>203</v>
      </c>
      <c r="AI5" s="33" t="s">
        <v>207</v>
      </c>
      <c r="AJ5" s="33" t="s">
        <v>194</v>
      </c>
      <c r="AK5" s="33" t="s">
        <v>194</v>
      </c>
      <c r="AL5" s="33"/>
      <c r="AM5" s="33"/>
      <c r="AN5" s="33"/>
      <c r="AO5" s="35" t="s">
        <v>208</v>
      </c>
      <c r="AP5" s="33"/>
      <c r="AQ5" s="33"/>
      <c r="AR5" s="34" t="s">
        <v>363</v>
      </c>
      <c r="AS5" s="34" t="s">
        <v>287</v>
      </c>
      <c r="AT5" s="34" t="s">
        <v>288</v>
      </c>
      <c r="AU5" s="36" t="s">
        <v>67</v>
      </c>
      <c r="AV5" s="33" t="s">
        <v>81</v>
      </c>
      <c r="AW5" s="36" t="s">
        <v>95</v>
      </c>
      <c r="AX5" s="44" t="s">
        <v>88</v>
      </c>
      <c r="AY5" s="34"/>
    </row>
    <row r="6" customFormat="false" ht="30" hidden="false" customHeight="true" outlineLevel="0" collapsed="false">
      <c r="A6" s="39" t="n">
        <v>4</v>
      </c>
      <c r="B6" s="40" t="s">
        <v>357</v>
      </c>
      <c r="C6" s="40" t="s">
        <v>380</v>
      </c>
      <c r="D6" s="40" t="s">
        <v>380</v>
      </c>
      <c r="E6" s="40" t="s">
        <v>358</v>
      </c>
      <c r="F6" s="39" t="s">
        <v>359</v>
      </c>
      <c r="G6" s="40" t="s">
        <v>269</v>
      </c>
      <c r="H6" s="40" t="s">
        <v>360</v>
      </c>
      <c r="I6" s="40" t="s">
        <v>361</v>
      </c>
      <c r="J6" s="39" t="s">
        <v>81</v>
      </c>
      <c r="K6" s="40" t="s">
        <v>194</v>
      </c>
      <c r="L6" s="40" t="s">
        <v>194</v>
      </c>
      <c r="M6" s="40" t="s">
        <v>362</v>
      </c>
      <c r="N6" s="39" t="s">
        <v>363</v>
      </c>
      <c r="O6" s="40" t="s">
        <v>381</v>
      </c>
      <c r="P6" s="39" t="s">
        <v>275</v>
      </c>
      <c r="Q6" s="40" t="s">
        <v>382</v>
      </c>
      <c r="R6" s="40" t="s">
        <v>383</v>
      </c>
      <c r="S6" s="40" t="s">
        <v>178</v>
      </c>
      <c r="T6" s="39" t="s">
        <v>279</v>
      </c>
      <c r="U6" s="39" t="s">
        <v>384</v>
      </c>
      <c r="V6" s="39" t="s">
        <v>385</v>
      </c>
      <c r="W6" s="39" t="s">
        <v>282</v>
      </c>
      <c r="X6" s="39" t="s">
        <v>386</v>
      </c>
      <c r="Y6" s="40"/>
      <c r="Z6" s="35" t="s">
        <v>203</v>
      </c>
      <c r="AA6" s="40" t="s">
        <v>387</v>
      </c>
      <c r="AB6" s="40" t="s">
        <v>348</v>
      </c>
      <c r="AC6" s="39" t="s">
        <v>108</v>
      </c>
      <c r="AD6" s="39" t="s">
        <v>220</v>
      </c>
      <c r="AE6" s="39" t="s">
        <v>203</v>
      </c>
      <c r="AF6" s="39" t="s">
        <v>206</v>
      </c>
      <c r="AG6" s="39" t="s">
        <v>203</v>
      </c>
      <c r="AH6" s="39" t="s">
        <v>203</v>
      </c>
      <c r="AI6" s="39" t="s">
        <v>207</v>
      </c>
      <c r="AJ6" s="39" t="s">
        <v>194</v>
      </c>
      <c r="AK6" s="39" t="s">
        <v>194</v>
      </c>
      <c r="AL6" s="39"/>
      <c r="AM6" s="39"/>
      <c r="AN6" s="35" t="s">
        <v>208</v>
      </c>
      <c r="AO6" s="39"/>
      <c r="AP6" s="39"/>
      <c r="AQ6" s="39"/>
      <c r="AR6" s="40" t="s">
        <v>363</v>
      </c>
      <c r="AS6" s="40" t="s">
        <v>287</v>
      </c>
      <c r="AT6" s="40" t="s">
        <v>288</v>
      </c>
      <c r="AU6" s="36" t="s">
        <v>67</v>
      </c>
      <c r="AV6" s="33" t="s">
        <v>81</v>
      </c>
      <c r="AW6" s="36" t="s">
        <v>95</v>
      </c>
      <c r="AX6" s="42" t="s">
        <v>86</v>
      </c>
      <c r="AY6" s="40" t="s">
        <v>388</v>
      </c>
    </row>
    <row r="7" customFormat="false" ht="30" hidden="false" customHeight="true" outlineLevel="0" collapsed="false">
      <c r="A7" s="33" t="n">
        <v>5</v>
      </c>
      <c r="B7" s="34" t="s">
        <v>357</v>
      </c>
      <c r="C7" s="34" t="s">
        <v>389</v>
      </c>
      <c r="D7" s="34" t="s">
        <v>389</v>
      </c>
      <c r="E7" s="34" t="s">
        <v>358</v>
      </c>
      <c r="F7" s="33" t="s">
        <v>359</v>
      </c>
      <c r="G7" s="34" t="s">
        <v>269</v>
      </c>
      <c r="H7" s="34" t="s">
        <v>360</v>
      </c>
      <c r="I7" s="34" t="s">
        <v>361</v>
      </c>
      <c r="J7" s="33" t="s">
        <v>81</v>
      </c>
      <c r="K7" s="34" t="s">
        <v>194</v>
      </c>
      <c r="L7" s="34" t="s">
        <v>194</v>
      </c>
      <c r="M7" s="34" t="s">
        <v>362</v>
      </c>
      <c r="N7" s="33" t="s">
        <v>363</v>
      </c>
      <c r="O7" s="34" t="s">
        <v>390</v>
      </c>
      <c r="P7" s="33" t="s">
        <v>275</v>
      </c>
      <c r="Q7" s="34" t="s">
        <v>391</v>
      </c>
      <c r="R7" s="34" t="s">
        <v>392</v>
      </c>
      <c r="S7" s="34" t="s">
        <v>393</v>
      </c>
      <c r="T7" s="33" t="s">
        <v>279</v>
      </c>
      <c r="U7" s="33" t="s">
        <v>394</v>
      </c>
      <c r="V7" s="33"/>
      <c r="W7" s="33"/>
      <c r="X7" s="33"/>
      <c r="Y7" s="34"/>
      <c r="Z7" s="36" t="s">
        <v>97</v>
      </c>
      <c r="AA7" s="34" t="s">
        <v>395</v>
      </c>
      <c r="AB7" s="34" t="s">
        <v>180</v>
      </c>
      <c r="AC7" s="33" t="s">
        <v>106</v>
      </c>
      <c r="AD7" s="33" t="s">
        <v>286</v>
      </c>
      <c r="AE7" s="33" t="s">
        <v>203</v>
      </c>
      <c r="AF7" s="33" t="s">
        <v>206</v>
      </c>
      <c r="AG7" s="33" t="s">
        <v>203</v>
      </c>
      <c r="AH7" s="33" t="s">
        <v>203</v>
      </c>
      <c r="AI7" s="33" t="s">
        <v>207</v>
      </c>
      <c r="AJ7" s="33" t="s">
        <v>194</v>
      </c>
      <c r="AK7" s="33" t="s">
        <v>194</v>
      </c>
      <c r="AL7" s="33"/>
      <c r="AM7" s="33"/>
      <c r="AN7" s="33"/>
      <c r="AO7" s="33"/>
      <c r="AP7" s="35" t="s">
        <v>208</v>
      </c>
      <c r="AQ7" s="33"/>
      <c r="AR7" s="34" t="s">
        <v>363</v>
      </c>
      <c r="AS7" s="34" t="s">
        <v>287</v>
      </c>
      <c r="AT7" s="34" t="s">
        <v>288</v>
      </c>
      <c r="AU7" s="36" t="s">
        <v>67</v>
      </c>
      <c r="AV7" s="33" t="s">
        <v>81</v>
      </c>
      <c r="AW7" s="43" t="s">
        <v>97</v>
      </c>
      <c r="AX7" s="44" t="s">
        <v>88</v>
      </c>
      <c r="AY7" s="34"/>
    </row>
    <row r="8" customFormat="false" ht="30" hidden="false" customHeight="true" outlineLevel="0" collapsed="false">
      <c r="A8" s="39" t="n">
        <v>6</v>
      </c>
      <c r="B8" s="40" t="s">
        <v>357</v>
      </c>
      <c r="C8" s="40" t="s">
        <v>389</v>
      </c>
      <c r="D8" s="40" t="s">
        <v>389</v>
      </c>
      <c r="E8" s="40" t="s">
        <v>358</v>
      </c>
      <c r="F8" s="39" t="s">
        <v>359</v>
      </c>
      <c r="G8" s="40" t="s">
        <v>269</v>
      </c>
      <c r="H8" s="40" t="s">
        <v>360</v>
      </c>
      <c r="I8" s="40" t="s">
        <v>361</v>
      </c>
      <c r="J8" s="39" t="s">
        <v>81</v>
      </c>
      <c r="K8" s="40" t="s">
        <v>194</v>
      </c>
      <c r="L8" s="40" t="s">
        <v>194</v>
      </c>
      <c r="M8" s="40" t="s">
        <v>362</v>
      </c>
      <c r="N8" s="39" t="s">
        <v>363</v>
      </c>
      <c r="O8" s="40" t="s">
        <v>396</v>
      </c>
      <c r="P8" s="39" t="s">
        <v>275</v>
      </c>
      <c r="Q8" s="40" t="s">
        <v>397</v>
      </c>
      <c r="R8" s="40" t="s">
        <v>398</v>
      </c>
      <c r="S8" s="40" t="s">
        <v>393</v>
      </c>
      <c r="T8" s="39" t="s">
        <v>279</v>
      </c>
      <c r="U8" s="39" t="s">
        <v>394</v>
      </c>
      <c r="V8" s="39"/>
      <c r="W8" s="39"/>
      <c r="X8" s="39"/>
      <c r="Y8" s="40"/>
      <c r="Z8" s="36" t="s">
        <v>97</v>
      </c>
      <c r="AA8" s="40" t="s">
        <v>399</v>
      </c>
      <c r="AB8" s="40" t="s">
        <v>180</v>
      </c>
      <c r="AC8" s="39" t="s">
        <v>106</v>
      </c>
      <c r="AD8" s="39" t="s">
        <v>286</v>
      </c>
      <c r="AE8" s="39" t="s">
        <v>203</v>
      </c>
      <c r="AF8" s="39" t="s">
        <v>206</v>
      </c>
      <c r="AG8" s="39" t="s">
        <v>203</v>
      </c>
      <c r="AH8" s="39" t="s">
        <v>203</v>
      </c>
      <c r="AI8" s="39" t="s">
        <v>207</v>
      </c>
      <c r="AJ8" s="39" t="s">
        <v>194</v>
      </c>
      <c r="AK8" s="39" t="s">
        <v>194</v>
      </c>
      <c r="AL8" s="39"/>
      <c r="AM8" s="39"/>
      <c r="AN8" s="39"/>
      <c r="AO8" s="39"/>
      <c r="AP8" s="35" t="s">
        <v>208</v>
      </c>
      <c r="AQ8" s="39"/>
      <c r="AR8" s="40" t="s">
        <v>363</v>
      </c>
      <c r="AS8" s="40" t="s">
        <v>287</v>
      </c>
      <c r="AT8" s="40" t="s">
        <v>288</v>
      </c>
      <c r="AU8" s="36" t="s">
        <v>67</v>
      </c>
      <c r="AV8" s="33" t="s">
        <v>81</v>
      </c>
      <c r="AW8" s="43" t="s">
        <v>97</v>
      </c>
      <c r="AX8" s="45" t="s">
        <v>90</v>
      </c>
      <c r="AY8" s="40"/>
    </row>
    <row r="9" customFormat="false" ht="30" hidden="false" customHeight="true" outlineLevel="0" collapsed="false">
      <c r="A9" s="33" t="n">
        <v>7</v>
      </c>
      <c r="B9" s="34" t="s">
        <v>357</v>
      </c>
      <c r="C9" s="34" t="s">
        <v>389</v>
      </c>
      <c r="D9" s="34" t="s">
        <v>389</v>
      </c>
      <c r="E9" s="34" t="s">
        <v>358</v>
      </c>
      <c r="F9" s="33" t="s">
        <v>359</v>
      </c>
      <c r="G9" s="34" t="s">
        <v>269</v>
      </c>
      <c r="H9" s="34" t="s">
        <v>360</v>
      </c>
      <c r="I9" s="34" t="s">
        <v>361</v>
      </c>
      <c r="J9" s="33" t="s">
        <v>81</v>
      </c>
      <c r="K9" s="34" t="s">
        <v>194</v>
      </c>
      <c r="L9" s="34" t="s">
        <v>194</v>
      </c>
      <c r="M9" s="34" t="s">
        <v>362</v>
      </c>
      <c r="N9" s="33" t="s">
        <v>363</v>
      </c>
      <c r="O9" s="34" t="s">
        <v>400</v>
      </c>
      <c r="P9" s="33" t="s">
        <v>275</v>
      </c>
      <c r="Q9" s="34" t="s">
        <v>401</v>
      </c>
      <c r="R9" s="34" t="s">
        <v>402</v>
      </c>
      <c r="S9" s="34" t="s">
        <v>393</v>
      </c>
      <c r="T9" s="33" t="s">
        <v>279</v>
      </c>
      <c r="U9" s="33" t="s">
        <v>394</v>
      </c>
      <c r="V9" s="33"/>
      <c r="W9" s="33"/>
      <c r="X9" s="33"/>
      <c r="Y9" s="34"/>
      <c r="Z9" s="36" t="s">
        <v>97</v>
      </c>
      <c r="AA9" s="34" t="s">
        <v>399</v>
      </c>
      <c r="AB9" s="34" t="s">
        <v>180</v>
      </c>
      <c r="AC9" s="33" t="s">
        <v>106</v>
      </c>
      <c r="AD9" s="33" t="s">
        <v>286</v>
      </c>
      <c r="AE9" s="33" t="s">
        <v>203</v>
      </c>
      <c r="AF9" s="33" t="s">
        <v>206</v>
      </c>
      <c r="AG9" s="33" t="s">
        <v>203</v>
      </c>
      <c r="AH9" s="33" t="s">
        <v>203</v>
      </c>
      <c r="AI9" s="33" t="s">
        <v>207</v>
      </c>
      <c r="AJ9" s="33" t="s">
        <v>194</v>
      </c>
      <c r="AK9" s="33" t="s">
        <v>194</v>
      </c>
      <c r="AL9" s="33"/>
      <c r="AM9" s="33"/>
      <c r="AN9" s="33"/>
      <c r="AO9" s="33"/>
      <c r="AP9" s="35" t="s">
        <v>208</v>
      </c>
      <c r="AQ9" s="33"/>
      <c r="AR9" s="34" t="s">
        <v>363</v>
      </c>
      <c r="AS9" s="34" t="s">
        <v>287</v>
      </c>
      <c r="AT9" s="34" t="s">
        <v>288</v>
      </c>
      <c r="AU9" s="36" t="s">
        <v>67</v>
      </c>
      <c r="AV9" s="33" t="s">
        <v>81</v>
      </c>
      <c r="AW9" s="43" t="s">
        <v>97</v>
      </c>
      <c r="AX9" s="45" t="s">
        <v>90</v>
      </c>
      <c r="AY9" s="34"/>
    </row>
    <row r="10" customFormat="false" ht="30" hidden="false" customHeight="true" outlineLevel="0" collapsed="false">
      <c r="A10" s="39" t="n">
        <v>8</v>
      </c>
      <c r="B10" s="40" t="s">
        <v>357</v>
      </c>
      <c r="C10" s="40" t="s">
        <v>403</v>
      </c>
      <c r="D10" s="40" t="s">
        <v>403</v>
      </c>
      <c r="E10" s="40" t="s">
        <v>358</v>
      </c>
      <c r="F10" s="39" t="s">
        <v>359</v>
      </c>
      <c r="G10" s="40" t="s">
        <v>269</v>
      </c>
      <c r="H10" s="40" t="s">
        <v>360</v>
      </c>
      <c r="I10" s="40" t="s">
        <v>361</v>
      </c>
      <c r="J10" s="39" t="s">
        <v>81</v>
      </c>
      <c r="K10" s="40" t="s">
        <v>194</v>
      </c>
      <c r="L10" s="40" t="s">
        <v>194</v>
      </c>
      <c r="M10" s="40" t="s">
        <v>362</v>
      </c>
      <c r="N10" s="39" t="s">
        <v>363</v>
      </c>
      <c r="O10" s="40" t="s">
        <v>404</v>
      </c>
      <c r="P10" s="39" t="s">
        <v>275</v>
      </c>
      <c r="Q10" s="40" t="s">
        <v>405</v>
      </c>
      <c r="R10" s="40" t="s">
        <v>406</v>
      </c>
      <c r="S10" s="40" t="s">
        <v>407</v>
      </c>
      <c r="T10" s="39" t="s">
        <v>331</v>
      </c>
      <c r="U10" s="39" t="s">
        <v>332</v>
      </c>
      <c r="V10" s="39"/>
      <c r="W10" s="39"/>
      <c r="X10" s="39"/>
      <c r="Y10" s="40" t="s">
        <v>408</v>
      </c>
      <c r="Z10" s="36" t="s">
        <v>97</v>
      </c>
      <c r="AA10" s="40" t="s">
        <v>409</v>
      </c>
      <c r="AB10" s="40" t="s">
        <v>410</v>
      </c>
      <c r="AC10" s="39" t="s">
        <v>108</v>
      </c>
      <c r="AD10" s="39" t="s">
        <v>335</v>
      </c>
      <c r="AE10" s="39" t="s">
        <v>203</v>
      </c>
      <c r="AF10" s="39" t="s">
        <v>206</v>
      </c>
      <c r="AG10" s="39" t="s">
        <v>203</v>
      </c>
      <c r="AH10" s="39" t="s">
        <v>203</v>
      </c>
      <c r="AI10" s="39" t="s">
        <v>203</v>
      </c>
      <c r="AJ10" s="39" t="s">
        <v>81</v>
      </c>
      <c r="AK10" s="39" t="s">
        <v>194</v>
      </c>
      <c r="AL10" s="35" t="s">
        <v>208</v>
      </c>
      <c r="AM10" s="39"/>
      <c r="AN10" s="39"/>
      <c r="AO10" s="39"/>
      <c r="AP10" s="39"/>
      <c r="AQ10" s="39"/>
      <c r="AR10" s="40" t="s">
        <v>363</v>
      </c>
      <c r="AS10" s="40" t="s">
        <v>287</v>
      </c>
      <c r="AT10" s="40" t="s">
        <v>288</v>
      </c>
      <c r="AU10" s="36" t="s">
        <v>67</v>
      </c>
      <c r="AV10" s="33" t="s">
        <v>81</v>
      </c>
      <c r="AW10" s="43" t="s">
        <v>97</v>
      </c>
      <c r="AX10" s="44" t="s">
        <v>88</v>
      </c>
      <c r="AY10" s="40"/>
    </row>
    <row r="11" customFormat="false" ht="30" hidden="false" customHeight="true" outlineLevel="0" collapsed="false">
      <c r="A11" s="33" t="n">
        <v>9</v>
      </c>
      <c r="B11" s="34" t="s">
        <v>357</v>
      </c>
      <c r="C11" s="34" t="s">
        <v>403</v>
      </c>
      <c r="D11" s="34" t="s">
        <v>403</v>
      </c>
      <c r="E11" s="34" t="s">
        <v>358</v>
      </c>
      <c r="F11" s="33" t="s">
        <v>359</v>
      </c>
      <c r="G11" s="34" t="s">
        <v>269</v>
      </c>
      <c r="H11" s="34" t="s">
        <v>360</v>
      </c>
      <c r="I11" s="34" t="s">
        <v>361</v>
      </c>
      <c r="J11" s="33" t="s">
        <v>81</v>
      </c>
      <c r="K11" s="34" t="s">
        <v>194</v>
      </c>
      <c r="L11" s="34" t="s">
        <v>194</v>
      </c>
      <c r="M11" s="34" t="s">
        <v>362</v>
      </c>
      <c r="N11" s="33" t="s">
        <v>363</v>
      </c>
      <c r="O11" s="34" t="s">
        <v>411</v>
      </c>
      <c r="P11" s="33" t="s">
        <v>275</v>
      </c>
      <c r="Q11" s="34" t="s">
        <v>412</v>
      </c>
      <c r="R11" s="34" t="s">
        <v>413</v>
      </c>
      <c r="S11" s="34" t="s">
        <v>330</v>
      </c>
      <c r="T11" s="33" t="s">
        <v>331</v>
      </c>
      <c r="U11" s="33" t="s">
        <v>332</v>
      </c>
      <c r="V11" s="33"/>
      <c r="W11" s="33"/>
      <c r="X11" s="33"/>
      <c r="Y11" s="34" t="s">
        <v>414</v>
      </c>
      <c r="Z11" s="36" t="s">
        <v>97</v>
      </c>
      <c r="AA11" s="34" t="s">
        <v>415</v>
      </c>
      <c r="AB11" s="34" t="s">
        <v>176</v>
      </c>
      <c r="AC11" s="33" t="s">
        <v>108</v>
      </c>
      <c r="AD11" s="33" t="s">
        <v>335</v>
      </c>
      <c r="AE11" s="33" t="s">
        <v>203</v>
      </c>
      <c r="AF11" s="33" t="s">
        <v>206</v>
      </c>
      <c r="AG11" s="33" t="s">
        <v>203</v>
      </c>
      <c r="AH11" s="33" t="s">
        <v>203</v>
      </c>
      <c r="AI11" s="33" t="s">
        <v>207</v>
      </c>
      <c r="AJ11" s="33" t="s">
        <v>194</v>
      </c>
      <c r="AK11" s="33" t="s">
        <v>194</v>
      </c>
      <c r="AL11" s="35" t="s">
        <v>208</v>
      </c>
      <c r="AM11" s="33"/>
      <c r="AN11" s="33"/>
      <c r="AO11" s="33"/>
      <c r="AP11" s="33"/>
      <c r="AQ11" s="33"/>
      <c r="AR11" s="34" t="s">
        <v>363</v>
      </c>
      <c r="AS11" s="34" t="s">
        <v>287</v>
      </c>
      <c r="AT11" s="34" t="s">
        <v>288</v>
      </c>
      <c r="AU11" s="36" t="s">
        <v>67</v>
      </c>
      <c r="AV11" s="33" t="s">
        <v>81</v>
      </c>
      <c r="AW11" s="43" t="s">
        <v>97</v>
      </c>
      <c r="AX11" s="45" t="s">
        <v>90</v>
      </c>
      <c r="AY11" s="34"/>
    </row>
    <row r="12" customFormat="false" ht="30" hidden="false" customHeight="true" outlineLevel="0" collapsed="false">
      <c r="A12" s="39" t="n">
        <v>10</v>
      </c>
      <c r="B12" s="40" t="s">
        <v>357</v>
      </c>
      <c r="C12" s="40" t="s">
        <v>416</v>
      </c>
      <c r="D12" s="40" t="s">
        <v>416</v>
      </c>
      <c r="E12" s="40" t="s">
        <v>358</v>
      </c>
      <c r="F12" s="39" t="s">
        <v>359</v>
      </c>
      <c r="G12" s="40" t="s">
        <v>194</v>
      </c>
      <c r="H12" s="40" t="s">
        <v>213</v>
      </c>
      <c r="I12" s="40" t="s">
        <v>194</v>
      </c>
      <c r="J12" s="39" t="s">
        <v>194</v>
      </c>
      <c r="K12" s="40" t="s">
        <v>194</v>
      </c>
      <c r="L12" s="40" t="s">
        <v>194</v>
      </c>
      <c r="M12" s="40" t="s">
        <v>194</v>
      </c>
      <c r="N12" s="39" t="s">
        <v>214</v>
      </c>
      <c r="O12" s="40" t="s">
        <v>250</v>
      </c>
      <c r="P12" s="39" t="s">
        <v>194</v>
      </c>
      <c r="Q12" s="40" t="s">
        <v>251</v>
      </c>
      <c r="R12" s="40" t="s">
        <v>417</v>
      </c>
      <c r="S12" s="40" t="s">
        <v>200</v>
      </c>
      <c r="T12" s="39" t="s">
        <v>201</v>
      </c>
      <c r="U12" s="39" t="s">
        <v>194</v>
      </c>
      <c r="V12" s="39"/>
      <c r="W12" s="39"/>
      <c r="X12" s="39"/>
      <c r="Y12" s="40"/>
      <c r="Z12" s="35" t="s">
        <v>203</v>
      </c>
      <c r="AA12" s="40" t="s">
        <v>418</v>
      </c>
      <c r="AB12" s="40" t="s">
        <v>419</v>
      </c>
      <c r="AC12" s="39" t="s">
        <v>108</v>
      </c>
      <c r="AD12" s="39" t="s">
        <v>254</v>
      </c>
      <c r="AE12" s="39" t="s">
        <v>203</v>
      </c>
      <c r="AF12" s="39" t="s">
        <v>206</v>
      </c>
      <c r="AG12" s="39" t="s">
        <v>203</v>
      </c>
      <c r="AH12" s="39" t="s">
        <v>203</v>
      </c>
      <c r="AI12" s="39" t="s">
        <v>207</v>
      </c>
      <c r="AJ12" s="39" t="s">
        <v>194</v>
      </c>
      <c r="AK12" s="39" t="s">
        <v>194</v>
      </c>
      <c r="AL12" s="39"/>
      <c r="AM12" s="39"/>
      <c r="AN12" s="35" t="s">
        <v>208</v>
      </c>
      <c r="AO12" s="39"/>
      <c r="AP12" s="39"/>
      <c r="AQ12" s="39"/>
      <c r="AR12" s="40" t="s">
        <v>214</v>
      </c>
      <c r="AS12" s="40" t="s">
        <v>194</v>
      </c>
      <c r="AT12" s="40" t="s">
        <v>221</v>
      </c>
      <c r="AU12" s="41" t="s">
        <v>75</v>
      </c>
      <c r="AV12" s="35" t="s">
        <v>99</v>
      </c>
      <c r="AW12" s="36" t="s">
        <v>95</v>
      </c>
      <c r="AX12" s="42" t="s">
        <v>86</v>
      </c>
      <c r="AY12" s="40" t="s">
        <v>420</v>
      </c>
    </row>
    <row r="13" customFormat="false" ht="30" hidden="false" customHeight="true" outlineLevel="0" collapsed="false">
      <c r="A13" s="33" t="n">
        <v>11</v>
      </c>
      <c r="B13" s="34" t="s">
        <v>357</v>
      </c>
      <c r="C13" s="34" t="s">
        <v>416</v>
      </c>
      <c r="D13" s="34" t="s">
        <v>416</v>
      </c>
      <c r="E13" s="34" t="s">
        <v>358</v>
      </c>
      <c r="F13" s="33" t="s">
        <v>359</v>
      </c>
      <c r="G13" s="34" t="s">
        <v>194</v>
      </c>
      <c r="H13" s="34" t="s">
        <v>213</v>
      </c>
      <c r="I13" s="34" t="s">
        <v>194</v>
      </c>
      <c r="J13" s="33" t="s">
        <v>194</v>
      </c>
      <c r="K13" s="34" t="s">
        <v>194</v>
      </c>
      <c r="L13" s="34" t="s">
        <v>194</v>
      </c>
      <c r="M13" s="34" t="s">
        <v>194</v>
      </c>
      <c r="N13" s="33" t="s">
        <v>214</v>
      </c>
      <c r="O13" s="34" t="s">
        <v>421</v>
      </c>
      <c r="P13" s="33" t="s">
        <v>194</v>
      </c>
      <c r="Q13" s="34" t="s">
        <v>422</v>
      </c>
      <c r="R13" s="34" t="s">
        <v>423</v>
      </c>
      <c r="S13" s="34" t="s">
        <v>179</v>
      </c>
      <c r="T13" s="33" t="s">
        <v>279</v>
      </c>
      <c r="U13" s="33" t="s">
        <v>322</v>
      </c>
      <c r="V13" s="33" t="s">
        <v>424</v>
      </c>
      <c r="W13" s="33"/>
      <c r="X13" s="33"/>
      <c r="Y13" s="34" t="s">
        <v>425</v>
      </c>
      <c r="Z13" s="35" t="s">
        <v>203</v>
      </c>
      <c r="AA13" s="34" t="s">
        <v>426</v>
      </c>
      <c r="AB13" s="34" t="s">
        <v>179</v>
      </c>
      <c r="AC13" s="33" t="s">
        <v>110</v>
      </c>
      <c r="AD13" s="33" t="s">
        <v>254</v>
      </c>
      <c r="AE13" s="33" t="s">
        <v>203</v>
      </c>
      <c r="AF13" s="33" t="s">
        <v>206</v>
      </c>
      <c r="AG13" s="33" t="s">
        <v>203</v>
      </c>
      <c r="AH13" s="33" t="s">
        <v>242</v>
      </c>
      <c r="AI13" s="33" t="s">
        <v>207</v>
      </c>
      <c r="AJ13" s="33" t="s">
        <v>194</v>
      </c>
      <c r="AK13" s="33" t="s">
        <v>194</v>
      </c>
      <c r="AL13" s="33"/>
      <c r="AM13" s="33"/>
      <c r="AN13" s="33"/>
      <c r="AO13" s="35" t="s">
        <v>208</v>
      </c>
      <c r="AP13" s="33"/>
      <c r="AQ13" s="33"/>
      <c r="AR13" s="34" t="s">
        <v>214</v>
      </c>
      <c r="AS13" s="34" t="s">
        <v>194</v>
      </c>
      <c r="AT13" s="34" t="s">
        <v>221</v>
      </c>
      <c r="AU13" s="41" t="s">
        <v>75</v>
      </c>
      <c r="AV13" s="33" t="s">
        <v>81</v>
      </c>
      <c r="AW13" s="36" t="s">
        <v>95</v>
      </c>
      <c r="AX13" s="42" t="s">
        <v>86</v>
      </c>
      <c r="AY13" s="34" t="s">
        <v>427</v>
      </c>
    </row>
    <row r="14" customFormat="false" ht="30" hidden="false" customHeight="true" outlineLevel="0" collapsed="false">
      <c r="A14" s="39" t="n">
        <v>12</v>
      </c>
      <c r="B14" s="40" t="s">
        <v>357</v>
      </c>
      <c r="C14" s="40" t="s">
        <v>416</v>
      </c>
      <c r="D14" s="40" t="s">
        <v>416</v>
      </c>
      <c r="E14" s="40" t="s">
        <v>358</v>
      </c>
      <c r="F14" s="39" t="s">
        <v>359</v>
      </c>
      <c r="G14" s="40" t="s">
        <v>194</v>
      </c>
      <c r="H14" s="40" t="s">
        <v>213</v>
      </c>
      <c r="I14" s="40" t="s">
        <v>194</v>
      </c>
      <c r="J14" s="39" t="s">
        <v>194</v>
      </c>
      <c r="K14" s="40" t="s">
        <v>194</v>
      </c>
      <c r="L14" s="40" t="s">
        <v>194</v>
      </c>
      <c r="M14" s="40" t="s">
        <v>194</v>
      </c>
      <c r="N14" s="39" t="s">
        <v>214</v>
      </c>
      <c r="O14" s="40" t="s">
        <v>428</v>
      </c>
      <c r="P14" s="39" t="s">
        <v>194</v>
      </c>
      <c r="Q14" s="40" t="s">
        <v>429</v>
      </c>
      <c r="R14" s="40" t="s">
        <v>430</v>
      </c>
      <c r="S14" s="40" t="s">
        <v>179</v>
      </c>
      <c r="T14" s="39" t="s">
        <v>279</v>
      </c>
      <c r="U14" s="39" t="s">
        <v>322</v>
      </c>
      <c r="V14" s="39" t="s">
        <v>431</v>
      </c>
      <c r="W14" s="39"/>
      <c r="X14" s="39"/>
      <c r="Y14" s="40"/>
      <c r="Z14" s="35" t="s">
        <v>203</v>
      </c>
      <c r="AA14" s="40" t="s">
        <v>432</v>
      </c>
      <c r="AB14" s="40" t="s">
        <v>179</v>
      </c>
      <c r="AC14" s="39" t="s">
        <v>110</v>
      </c>
      <c r="AD14" s="39" t="s">
        <v>254</v>
      </c>
      <c r="AE14" s="39" t="s">
        <v>203</v>
      </c>
      <c r="AF14" s="39" t="s">
        <v>206</v>
      </c>
      <c r="AG14" s="39" t="s">
        <v>203</v>
      </c>
      <c r="AH14" s="39" t="s">
        <v>242</v>
      </c>
      <c r="AI14" s="39" t="s">
        <v>207</v>
      </c>
      <c r="AJ14" s="39" t="s">
        <v>194</v>
      </c>
      <c r="AK14" s="39" t="s">
        <v>194</v>
      </c>
      <c r="AL14" s="39"/>
      <c r="AM14" s="39"/>
      <c r="AN14" s="39"/>
      <c r="AO14" s="35" t="s">
        <v>208</v>
      </c>
      <c r="AP14" s="39"/>
      <c r="AQ14" s="39"/>
      <c r="AR14" s="40" t="s">
        <v>214</v>
      </c>
      <c r="AS14" s="40" t="s">
        <v>194</v>
      </c>
      <c r="AT14" s="40" t="s">
        <v>221</v>
      </c>
      <c r="AU14" s="41" t="s">
        <v>75</v>
      </c>
      <c r="AV14" s="33" t="s">
        <v>81</v>
      </c>
      <c r="AW14" s="36" t="s">
        <v>95</v>
      </c>
      <c r="AX14" s="42" t="s">
        <v>86</v>
      </c>
      <c r="AY14" s="40" t="s">
        <v>433</v>
      </c>
    </row>
    <row r="15" customFormat="false" ht="30" hidden="false" customHeight="true" outlineLevel="0" collapsed="false">
      <c r="A15" s="33" t="n">
        <v>13</v>
      </c>
      <c r="B15" s="34" t="s">
        <v>357</v>
      </c>
      <c r="C15" s="34" t="s">
        <v>416</v>
      </c>
      <c r="D15" s="34" t="s">
        <v>416</v>
      </c>
      <c r="E15" s="34" t="s">
        <v>358</v>
      </c>
      <c r="F15" s="33" t="s">
        <v>359</v>
      </c>
      <c r="G15" s="34" t="s">
        <v>194</v>
      </c>
      <c r="H15" s="34" t="s">
        <v>213</v>
      </c>
      <c r="I15" s="34" t="s">
        <v>194</v>
      </c>
      <c r="J15" s="33" t="s">
        <v>194</v>
      </c>
      <c r="K15" s="34" t="s">
        <v>194</v>
      </c>
      <c r="L15" s="34" t="s">
        <v>194</v>
      </c>
      <c r="M15" s="34" t="s">
        <v>194</v>
      </c>
      <c r="N15" s="33" t="s">
        <v>214</v>
      </c>
      <c r="O15" s="34" t="s">
        <v>434</v>
      </c>
      <c r="P15" s="33" t="s">
        <v>194</v>
      </c>
      <c r="Q15" s="34" t="s">
        <v>435</v>
      </c>
      <c r="R15" s="34" t="s">
        <v>436</v>
      </c>
      <c r="S15" s="34" t="s">
        <v>437</v>
      </c>
      <c r="T15" s="33" t="s">
        <v>201</v>
      </c>
      <c r="U15" s="33" t="s">
        <v>194</v>
      </c>
      <c r="V15" s="33"/>
      <c r="W15" s="33"/>
      <c r="X15" s="33"/>
      <c r="Y15" s="34"/>
      <c r="Z15" s="35" t="s">
        <v>203</v>
      </c>
      <c r="AA15" s="34" t="s">
        <v>438</v>
      </c>
      <c r="AB15" s="34" t="s">
        <v>179</v>
      </c>
      <c r="AC15" s="33" t="s">
        <v>110</v>
      </c>
      <c r="AD15" s="33" t="s">
        <v>254</v>
      </c>
      <c r="AE15" s="33" t="s">
        <v>203</v>
      </c>
      <c r="AF15" s="33" t="s">
        <v>206</v>
      </c>
      <c r="AG15" s="33" t="s">
        <v>203</v>
      </c>
      <c r="AH15" s="33" t="s">
        <v>242</v>
      </c>
      <c r="AI15" s="33" t="s">
        <v>207</v>
      </c>
      <c r="AJ15" s="33" t="s">
        <v>194</v>
      </c>
      <c r="AK15" s="33" t="s">
        <v>194</v>
      </c>
      <c r="AL15" s="33"/>
      <c r="AM15" s="33"/>
      <c r="AN15" s="33"/>
      <c r="AO15" s="35" t="s">
        <v>208</v>
      </c>
      <c r="AP15" s="33"/>
      <c r="AQ15" s="33"/>
      <c r="AR15" s="34" t="s">
        <v>214</v>
      </c>
      <c r="AS15" s="34" t="s">
        <v>194</v>
      </c>
      <c r="AT15" s="34" t="s">
        <v>221</v>
      </c>
      <c r="AU15" s="41" t="s">
        <v>75</v>
      </c>
      <c r="AV15" s="33" t="s">
        <v>81</v>
      </c>
      <c r="AW15" s="43" t="s">
        <v>97</v>
      </c>
      <c r="AX15" s="44" t="s">
        <v>88</v>
      </c>
      <c r="AY15" s="34"/>
    </row>
  </sheetData>
  <mergeCells count="1">
    <mergeCell ref="A1:A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8" min="18" style="0" width="34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1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22"/>
    <col collapsed="false" customWidth="true" hidden="false" outlineLevel="0" max="26" min="26" style="0" width="9"/>
    <col collapsed="false" customWidth="true" hidden="false" outlineLevel="0" max="27" min="27" style="0" width="30"/>
    <col collapsed="false" customWidth="true" hidden="false" outlineLevel="0" max="28" min="28" style="0" width="20"/>
    <col collapsed="false" customWidth="true" hidden="false" outlineLevel="0" max="29" min="29" style="0" width="13"/>
    <col collapsed="false" customWidth="true" hidden="false" outlineLevel="0" max="30" min="30" style="0" width="14"/>
    <col collapsed="false" customWidth="true" hidden="false" outlineLevel="0" max="31" min="31" style="0" width="9"/>
    <col collapsed="false" customWidth="true" hidden="false" outlineLevel="0" max="32" min="32" style="0" width="18"/>
    <col collapsed="false" customWidth="true" hidden="false" outlineLevel="0" max="33" min="33" style="0" width="9"/>
    <col collapsed="false" customWidth="true" hidden="false" outlineLevel="0" max="35" min="34" style="0" width="8"/>
    <col collapsed="false" customWidth="true" hidden="false" outlineLevel="0" max="37" min="36" style="0" width="11"/>
    <col collapsed="false" customWidth="true" hidden="false" outlineLevel="0" max="38" min="38" style="0" width="8"/>
    <col collapsed="false" customWidth="true" hidden="false" outlineLevel="0" max="39" min="39" style="0" width="6"/>
    <col collapsed="false" customWidth="true" hidden="false" outlineLevel="0" max="40" min="40" style="0" width="9"/>
    <col collapsed="false" customWidth="true" hidden="false" outlineLevel="0" max="41" min="41" style="0" width="8"/>
    <col collapsed="false" customWidth="true" hidden="false" outlineLevel="0" max="42" min="42" style="0" width="10"/>
    <col collapsed="false" customWidth="true" hidden="false" outlineLevel="0" max="43" min="43" style="0" width="7"/>
    <col collapsed="false" customWidth="true" hidden="false" outlineLevel="0" max="45" min="44" style="0" width="18"/>
    <col collapsed="false" customWidth="true" hidden="false" outlineLevel="0" max="47" min="46" style="0" width="22"/>
    <col collapsed="false" customWidth="true" hidden="false" outlineLevel="0" max="48" min="48" style="0" width="13"/>
    <col collapsed="false" customWidth="true" hidden="false" outlineLevel="0" max="49" min="49" style="0" width="11"/>
    <col collapsed="false" customWidth="true" hidden="false" outlineLevel="0" max="50" min="50" style="0" width="9"/>
    <col collapsed="false" customWidth="true" hidden="false" outlineLevel="0" max="51" min="51" style="0" width="40"/>
  </cols>
  <sheetData>
    <row r="1" customFormat="false" ht="21.75" hidden="false" customHeight="true" outlineLevel="0" collapsed="false">
      <c r="A1" s="31" t="s">
        <v>439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</row>
    <row r="2" customFormat="false" ht="19.4" hidden="false" customHeight="false" outlineLevel="0" collapsed="false">
      <c r="A2" s="32" t="s">
        <v>140</v>
      </c>
      <c r="B2" s="32" t="s">
        <v>141</v>
      </c>
      <c r="C2" s="32" t="s">
        <v>142</v>
      </c>
      <c r="D2" s="32" t="s">
        <v>143</v>
      </c>
      <c r="E2" s="32" t="s">
        <v>144</v>
      </c>
      <c r="F2" s="32" t="s">
        <v>145</v>
      </c>
      <c r="G2" s="32" t="s">
        <v>146</v>
      </c>
      <c r="H2" s="32" t="s">
        <v>147</v>
      </c>
      <c r="I2" s="32" t="s">
        <v>148</v>
      </c>
      <c r="J2" s="32" t="s">
        <v>149</v>
      </c>
      <c r="K2" s="32" t="s">
        <v>150</v>
      </c>
      <c r="L2" s="32" t="s">
        <v>151</v>
      </c>
      <c r="M2" s="32" t="s">
        <v>152</v>
      </c>
      <c r="N2" s="32" t="s">
        <v>153</v>
      </c>
      <c r="O2" s="32" t="s">
        <v>154</v>
      </c>
      <c r="P2" s="32" t="s">
        <v>155</v>
      </c>
      <c r="Q2" s="32" t="s">
        <v>156</v>
      </c>
      <c r="R2" s="32" t="s">
        <v>157</v>
      </c>
      <c r="S2" s="32" t="s">
        <v>117</v>
      </c>
      <c r="T2" s="32" t="s">
        <v>158</v>
      </c>
      <c r="U2" s="32" t="s">
        <v>159</v>
      </c>
      <c r="V2" s="32" t="s">
        <v>160</v>
      </c>
      <c r="W2" s="32" t="s">
        <v>161</v>
      </c>
      <c r="X2" s="32" t="s">
        <v>162</v>
      </c>
      <c r="Y2" s="32" t="s">
        <v>163</v>
      </c>
      <c r="Z2" s="32" t="s">
        <v>164</v>
      </c>
      <c r="AA2" s="32" t="s">
        <v>165</v>
      </c>
      <c r="AB2" s="32" t="s">
        <v>166</v>
      </c>
      <c r="AC2" s="32" t="s">
        <v>167</v>
      </c>
      <c r="AD2" s="32" t="s">
        <v>168</v>
      </c>
      <c r="AE2" s="32" t="s">
        <v>169</v>
      </c>
      <c r="AF2" s="32" t="s">
        <v>170</v>
      </c>
      <c r="AG2" s="32" t="s">
        <v>171</v>
      </c>
      <c r="AH2" s="32" t="s">
        <v>172</v>
      </c>
      <c r="AI2" s="32" t="s">
        <v>173</v>
      </c>
      <c r="AJ2" s="32" t="s">
        <v>174</v>
      </c>
      <c r="AK2" s="32" t="s">
        <v>175</v>
      </c>
      <c r="AL2" s="32" t="s">
        <v>176</v>
      </c>
      <c r="AM2" s="32" t="s">
        <v>177</v>
      </c>
      <c r="AN2" s="32" t="s">
        <v>178</v>
      </c>
      <c r="AO2" s="32" t="s">
        <v>179</v>
      </c>
      <c r="AP2" s="32" t="s">
        <v>180</v>
      </c>
      <c r="AQ2" s="32" t="s">
        <v>181</v>
      </c>
      <c r="AR2" s="32" t="s">
        <v>182</v>
      </c>
      <c r="AS2" s="32" t="s">
        <v>183</v>
      </c>
      <c r="AT2" s="32" t="s">
        <v>184</v>
      </c>
      <c r="AU2" s="32" t="s">
        <v>185</v>
      </c>
      <c r="AV2" s="32" t="s">
        <v>186</v>
      </c>
      <c r="AW2" s="32" t="s">
        <v>187</v>
      </c>
      <c r="AX2" s="32" t="s">
        <v>188</v>
      </c>
      <c r="AY2" s="32" t="s">
        <v>189</v>
      </c>
    </row>
    <row r="3" customFormat="false" ht="30" hidden="false" customHeight="true" outlineLevel="0" collapsed="false">
      <c r="A3" s="33" t="n">
        <v>1</v>
      </c>
      <c r="B3" s="34" t="s">
        <v>440</v>
      </c>
      <c r="C3" s="34" t="s">
        <v>441</v>
      </c>
      <c r="D3" s="34" t="s">
        <v>441</v>
      </c>
      <c r="E3" s="34" t="s">
        <v>442</v>
      </c>
      <c r="F3" s="33" t="s">
        <v>443</v>
      </c>
      <c r="G3" s="34" t="s">
        <v>81</v>
      </c>
      <c r="H3" s="34" t="s">
        <v>81</v>
      </c>
      <c r="I3" s="34" t="s">
        <v>444</v>
      </c>
      <c r="J3" s="33" t="s">
        <v>81</v>
      </c>
      <c r="K3" s="34" t="s">
        <v>194</v>
      </c>
      <c r="L3" s="34" t="s">
        <v>194</v>
      </c>
      <c r="M3" s="34" t="s">
        <v>194</v>
      </c>
      <c r="N3" s="33" t="s">
        <v>363</v>
      </c>
      <c r="O3" s="34" t="s">
        <v>445</v>
      </c>
      <c r="P3" s="33" t="s">
        <v>275</v>
      </c>
      <c r="Q3" s="34" t="s">
        <v>446</v>
      </c>
      <c r="R3" s="34" t="s">
        <v>447</v>
      </c>
      <c r="S3" s="34" t="s">
        <v>295</v>
      </c>
      <c r="T3" s="33" t="s">
        <v>279</v>
      </c>
      <c r="U3" s="33" t="s">
        <v>448</v>
      </c>
      <c r="V3" s="33"/>
      <c r="W3" s="33" t="s">
        <v>282</v>
      </c>
      <c r="X3" s="33" t="s">
        <v>449</v>
      </c>
      <c r="Y3" s="34"/>
      <c r="Z3" s="35" t="s">
        <v>203</v>
      </c>
      <c r="AA3" s="34" t="s">
        <v>450</v>
      </c>
      <c r="AB3" s="34" t="s">
        <v>451</v>
      </c>
      <c r="AC3" s="33" t="s">
        <v>106</v>
      </c>
      <c r="AD3" s="33" t="s">
        <v>286</v>
      </c>
      <c r="AE3" s="33" t="s">
        <v>203</v>
      </c>
      <c r="AF3" s="33" t="s">
        <v>206</v>
      </c>
      <c r="AG3" s="33" t="s">
        <v>203</v>
      </c>
      <c r="AH3" s="33" t="s">
        <v>203</v>
      </c>
      <c r="AI3" s="33" t="s">
        <v>207</v>
      </c>
      <c r="AJ3" s="33" t="s">
        <v>194</v>
      </c>
      <c r="AK3" s="33" t="s">
        <v>194</v>
      </c>
      <c r="AL3" s="33"/>
      <c r="AM3" s="35" t="s">
        <v>208</v>
      </c>
      <c r="AN3" s="33"/>
      <c r="AO3" s="33"/>
      <c r="AP3" s="33"/>
      <c r="AQ3" s="33"/>
      <c r="AR3" s="34" t="s">
        <v>363</v>
      </c>
      <c r="AS3" s="34" t="s">
        <v>81</v>
      </c>
      <c r="AT3" s="34" t="s">
        <v>81</v>
      </c>
      <c r="AU3" s="37" t="s">
        <v>81</v>
      </c>
      <c r="AV3" s="37" t="s">
        <v>103</v>
      </c>
      <c r="AW3" s="36" t="s">
        <v>95</v>
      </c>
      <c r="AX3" s="44" t="s">
        <v>88</v>
      </c>
      <c r="AY3" s="34" t="s">
        <v>452</v>
      </c>
    </row>
    <row r="4" customFormat="false" ht="30" hidden="false" customHeight="true" outlineLevel="0" collapsed="false">
      <c r="A4" s="39" t="n">
        <v>2</v>
      </c>
      <c r="B4" s="40" t="s">
        <v>440</v>
      </c>
      <c r="C4" s="40" t="s">
        <v>441</v>
      </c>
      <c r="D4" s="40" t="s">
        <v>441</v>
      </c>
      <c r="E4" s="40" t="s">
        <v>442</v>
      </c>
      <c r="F4" s="39" t="s">
        <v>443</v>
      </c>
      <c r="G4" s="40" t="s">
        <v>81</v>
      </c>
      <c r="H4" s="40" t="s">
        <v>81</v>
      </c>
      <c r="I4" s="40" t="s">
        <v>444</v>
      </c>
      <c r="J4" s="39" t="s">
        <v>81</v>
      </c>
      <c r="K4" s="40" t="s">
        <v>194</v>
      </c>
      <c r="L4" s="40" t="s">
        <v>194</v>
      </c>
      <c r="M4" s="40" t="s">
        <v>194</v>
      </c>
      <c r="N4" s="39" t="s">
        <v>363</v>
      </c>
      <c r="O4" s="40" t="s">
        <v>453</v>
      </c>
      <c r="P4" s="39" t="s">
        <v>275</v>
      </c>
      <c r="Q4" s="40" t="s">
        <v>454</v>
      </c>
      <c r="R4" s="40" t="s">
        <v>455</v>
      </c>
      <c r="S4" s="40" t="s">
        <v>295</v>
      </c>
      <c r="T4" s="39" t="s">
        <v>279</v>
      </c>
      <c r="U4" s="39" t="s">
        <v>280</v>
      </c>
      <c r="V4" s="39"/>
      <c r="W4" s="39"/>
      <c r="X4" s="39"/>
      <c r="Y4" s="40"/>
      <c r="Z4" s="36" t="s">
        <v>97</v>
      </c>
      <c r="AA4" s="40" t="s">
        <v>456</v>
      </c>
      <c r="AB4" s="40" t="s">
        <v>300</v>
      </c>
      <c r="AC4" s="39" t="s">
        <v>106</v>
      </c>
      <c r="AD4" s="39" t="s">
        <v>286</v>
      </c>
      <c r="AE4" s="39" t="s">
        <v>203</v>
      </c>
      <c r="AF4" s="39" t="s">
        <v>206</v>
      </c>
      <c r="AG4" s="39" t="s">
        <v>203</v>
      </c>
      <c r="AH4" s="39" t="s">
        <v>203</v>
      </c>
      <c r="AI4" s="39" t="s">
        <v>207</v>
      </c>
      <c r="AJ4" s="39" t="s">
        <v>194</v>
      </c>
      <c r="AK4" s="39" t="s">
        <v>194</v>
      </c>
      <c r="AL4" s="39"/>
      <c r="AM4" s="39"/>
      <c r="AN4" s="39"/>
      <c r="AO4" s="39"/>
      <c r="AP4" s="39"/>
      <c r="AQ4" s="39"/>
      <c r="AR4" s="40" t="s">
        <v>363</v>
      </c>
      <c r="AS4" s="40" t="s">
        <v>81</v>
      </c>
      <c r="AT4" s="40" t="s">
        <v>81</v>
      </c>
      <c r="AU4" s="37" t="s">
        <v>81</v>
      </c>
      <c r="AV4" s="37" t="s">
        <v>103</v>
      </c>
      <c r="AW4" s="43" t="s">
        <v>97</v>
      </c>
      <c r="AX4" s="45" t="s">
        <v>90</v>
      </c>
      <c r="AY4" s="40"/>
    </row>
    <row r="5" customFormat="false" ht="30" hidden="false" customHeight="true" outlineLevel="0" collapsed="false">
      <c r="A5" s="33" t="n">
        <v>3</v>
      </c>
      <c r="B5" s="34" t="s">
        <v>440</v>
      </c>
      <c r="C5" s="34" t="s">
        <v>441</v>
      </c>
      <c r="D5" s="34" t="s">
        <v>441</v>
      </c>
      <c r="E5" s="34" t="s">
        <v>442</v>
      </c>
      <c r="F5" s="33" t="s">
        <v>443</v>
      </c>
      <c r="G5" s="34" t="s">
        <v>81</v>
      </c>
      <c r="H5" s="34" t="s">
        <v>81</v>
      </c>
      <c r="I5" s="34" t="s">
        <v>444</v>
      </c>
      <c r="J5" s="33" t="s">
        <v>81</v>
      </c>
      <c r="K5" s="34" t="s">
        <v>194</v>
      </c>
      <c r="L5" s="34" t="s">
        <v>194</v>
      </c>
      <c r="M5" s="34" t="s">
        <v>194</v>
      </c>
      <c r="N5" s="33" t="s">
        <v>363</v>
      </c>
      <c r="O5" s="34" t="s">
        <v>457</v>
      </c>
      <c r="P5" s="33" t="s">
        <v>275</v>
      </c>
      <c r="Q5" s="34" t="s">
        <v>458</v>
      </c>
      <c r="R5" s="34" t="s">
        <v>459</v>
      </c>
      <c r="S5" s="34" t="s">
        <v>295</v>
      </c>
      <c r="T5" s="33" t="s">
        <v>279</v>
      </c>
      <c r="U5" s="33" t="s">
        <v>280</v>
      </c>
      <c r="V5" s="33"/>
      <c r="W5" s="33"/>
      <c r="X5" s="33"/>
      <c r="Y5" s="34"/>
      <c r="Z5" s="36" t="s">
        <v>97</v>
      </c>
      <c r="AA5" s="34" t="s">
        <v>456</v>
      </c>
      <c r="AB5" s="34" t="s">
        <v>300</v>
      </c>
      <c r="AC5" s="33" t="s">
        <v>106</v>
      </c>
      <c r="AD5" s="33" t="s">
        <v>286</v>
      </c>
      <c r="AE5" s="33" t="s">
        <v>203</v>
      </c>
      <c r="AF5" s="33" t="s">
        <v>206</v>
      </c>
      <c r="AG5" s="33" t="s">
        <v>203</v>
      </c>
      <c r="AH5" s="33" t="s">
        <v>203</v>
      </c>
      <c r="AI5" s="33" t="s">
        <v>207</v>
      </c>
      <c r="AJ5" s="33" t="s">
        <v>194</v>
      </c>
      <c r="AK5" s="33" t="s">
        <v>194</v>
      </c>
      <c r="AL5" s="33"/>
      <c r="AM5" s="33"/>
      <c r="AN5" s="33"/>
      <c r="AO5" s="33"/>
      <c r="AP5" s="33"/>
      <c r="AQ5" s="33"/>
      <c r="AR5" s="34" t="s">
        <v>363</v>
      </c>
      <c r="AS5" s="34" t="s">
        <v>81</v>
      </c>
      <c r="AT5" s="34" t="s">
        <v>81</v>
      </c>
      <c r="AU5" s="37" t="s">
        <v>81</v>
      </c>
      <c r="AV5" s="37" t="s">
        <v>103</v>
      </c>
      <c r="AW5" s="43" t="s">
        <v>97</v>
      </c>
      <c r="AX5" s="45" t="s">
        <v>90</v>
      </c>
      <c r="AY5" s="34"/>
    </row>
    <row r="6" customFormat="false" ht="30" hidden="false" customHeight="true" outlineLevel="0" collapsed="false">
      <c r="A6" s="39" t="n">
        <v>4</v>
      </c>
      <c r="B6" s="40" t="s">
        <v>440</v>
      </c>
      <c r="C6" s="40" t="s">
        <v>441</v>
      </c>
      <c r="D6" s="40" t="s">
        <v>441</v>
      </c>
      <c r="E6" s="40" t="s">
        <v>442</v>
      </c>
      <c r="F6" s="39" t="s">
        <v>443</v>
      </c>
      <c r="G6" s="40" t="s">
        <v>81</v>
      </c>
      <c r="H6" s="40" t="s">
        <v>81</v>
      </c>
      <c r="I6" s="40" t="s">
        <v>444</v>
      </c>
      <c r="J6" s="39" t="s">
        <v>81</v>
      </c>
      <c r="K6" s="40" t="s">
        <v>194</v>
      </c>
      <c r="L6" s="40" t="s">
        <v>194</v>
      </c>
      <c r="M6" s="40" t="s">
        <v>194</v>
      </c>
      <c r="N6" s="39" t="s">
        <v>363</v>
      </c>
      <c r="O6" s="40" t="s">
        <v>460</v>
      </c>
      <c r="P6" s="39" t="s">
        <v>275</v>
      </c>
      <c r="Q6" s="40" t="s">
        <v>461</v>
      </c>
      <c r="R6" s="40" t="s">
        <v>462</v>
      </c>
      <c r="S6" s="40" t="s">
        <v>330</v>
      </c>
      <c r="T6" s="39" t="s">
        <v>331</v>
      </c>
      <c r="U6" s="39" t="s">
        <v>332</v>
      </c>
      <c r="V6" s="39"/>
      <c r="W6" s="39"/>
      <c r="X6" s="39"/>
      <c r="Y6" s="40" t="s">
        <v>463</v>
      </c>
      <c r="Z6" s="36" t="s">
        <v>97</v>
      </c>
      <c r="AA6" s="40" t="s">
        <v>464</v>
      </c>
      <c r="AB6" s="40" t="s">
        <v>176</v>
      </c>
      <c r="AC6" s="39" t="s">
        <v>108</v>
      </c>
      <c r="AD6" s="39" t="s">
        <v>335</v>
      </c>
      <c r="AE6" s="39" t="s">
        <v>203</v>
      </c>
      <c r="AF6" s="39" t="s">
        <v>206</v>
      </c>
      <c r="AG6" s="39" t="s">
        <v>203</v>
      </c>
      <c r="AH6" s="39" t="s">
        <v>203</v>
      </c>
      <c r="AI6" s="39" t="s">
        <v>207</v>
      </c>
      <c r="AJ6" s="39" t="s">
        <v>194</v>
      </c>
      <c r="AK6" s="39" t="s">
        <v>194</v>
      </c>
      <c r="AL6" s="35" t="s">
        <v>208</v>
      </c>
      <c r="AM6" s="39"/>
      <c r="AN6" s="39"/>
      <c r="AO6" s="39"/>
      <c r="AP6" s="39"/>
      <c r="AQ6" s="39"/>
      <c r="AR6" s="40" t="s">
        <v>363</v>
      </c>
      <c r="AS6" s="40" t="s">
        <v>81</v>
      </c>
      <c r="AT6" s="40" t="s">
        <v>81</v>
      </c>
      <c r="AU6" s="37" t="s">
        <v>81</v>
      </c>
      <c r="AV6" s="37" t="s">
        <v>103</v>
      </c>
      <c r="AW6" s="43" t="s">
        <v>97</v>
      </c>
      <c r="AX6" s="45" t="s">
        <v>90</v>
      </c>
      <c r="AY6" s="40"/>
    </row>
    <row r="7" customFormat="false" ht="30" hidden="false" customHeight="true" outlineLevel="0" collapsed="false">
      <c r="A7" s="33" t="n">
        <v>5</v>
      </c>
      <c r="B7" s="34" t="s">
        <v>440</v>
      </c>
      <c r="C7" s="34" t="s">
        <v>403</v>
      </c>
      <c r="D7" s="34" t="s">
        <v>403</v>
      </c>
      <c r="E7" s="34" t="s">
        <v>442</v>
      </c>
      <c r="F7" s="33" t="s">
        <v>443</v>
      </c>
      <c r="G7" s="34" t="s">
        <v>81</v>
      </c>
      <c r="H7" s="34" t="s">
        <v>81</v>
      </c>
      <c r="I7" s="34" t="s">
        <v>444</v>
      </c>
      <c r="J7" s="33" t="s">
        <v>81</v>
      </c>
      <c r="K7" s="34" t="s">
        <v>194</v>
      </c>
      <c r="L7" s="34" t="s">
        <v>194</v>
      </c>
      <c r="M7" s="34" t="s">
        <v>194</v>
      </c>
      <c r="N7" s="33" t="s">
        <v>363</v>
      </c>
      <c r="O7" s="34" t="s">
        <v>465</v>
      </c>
      <c r="P7" s="33" t="s">
        <v>275</v>
      </c>
      <c r="Q7" s="34" t="s">
        <v>466</v>
      </c>
      <c r="R7" s="34" t="s">
        <v>467</v>
      </c>
      <c r="S7" s="34" t="s">
        <v>330</v>
      </c>
      <c r="T7" s="33" t="s">
        <v>331</v>
      </c>
      <c r="U7" s="33" t="s">
        <v>332</v>
      </c>
      <c r="V7" s="33"/>
      <c r="W7" s="33"/>
      <c r="X7" s="33"/>
      <c r="Y7" s="34" t="s">
        <v>468</v>
      </c>
      <c r="Z7" s="36" t="s">
        <v>97</v>
      </c>
      <c r="AA7" s="34" t="s">
        <v>469</v>
      </c>
      <c r="AB7" s="34" t="s">
        <v>410</v>
      </c>
      <c r="AC7" s="33" t="s">
        <v>108</v>
      </c>
      <c r="AD7" s="33" t="s">
        <v>335</v>
      </c>
      <c r="AE7" s="33" t="s">
        <v>203</v>
      </c>
      <c r="AF7" s="33" t="s">
        <v>206</v>
      </c>
      <c r="AG7" s="33" t="s">
        <v>203</v>
      </c>
      <c r="AH7" s="33" t="s">
        <v>203</v>
      </c>
      <c r="AI7" s="33" t="s">
        <v>203</v>
      </c>
      <c r="AJ7" s="33" t="s">
        <v>81</v>
      </c>
      <c r="AK7" s="33" t="s">
        <v>194</v>
      </c>
      <c r="AL7" s="35" t="s">
        <v>208</v>
      </c>
      <c r="AM7" s="33"/>
      <c r="AN7" s="33"/>
      <c r="AO7" s="33"/>
      <c r="AP7" s="35" t="s">
        <v>208</v>
      </c>
      <c r="AQ7" s="33"/>
      <c r="AR7" s="34" t="s">
        <v>363</v>
      </c>
      <c r="AS7" s="34" t="s">
        <v>81</v>
      </c>
      <c r="AT7" s="34" t="s">
        <v>81</v>
      </c>
      <c r="AU7" s="37" t="s">
        <v>81</v>
      </c>
      <c r="AV7" s="37" t="s">
        <v>103</v>
      </c>
      <c r="AW7" s="43" t="s">
        <v>97</v>
      </c>
      <c r="AX7" s="45" t="s">
        <v>90</v>
      </c>
      <c r="AY7" s="34" t="s">
        <v>470</v>
      </c>
    </row>
  </sheetData>
  <mergeCells count="1">
    <mergeCell ref="A1:A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8" min="18" style="0" width="34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1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22"/>
    <col collapsed="false" customWidth="true" hidden="false" outlineLevel="0" max="26" min="26" style="0" width="9"/>
    <col collapsed="false" customWidth="true" hidden="false" outlineLevel="0" max="27" min="27" style="0" width="30"/>
    <col collapsed="false" customWidth="true" hidden="false" outlineLevel="0" max="28" min="28" style="0" width="20"/>
    <col collapsed="false" customWidth="true" hidden="false" outlineLevel="0" max="29" min="29" style="0" width="13"/>
    <col collapsed="false" customWidth="true" hidden="false" outlineLevel="0" max="30" min="30" style="0" width="14"/>
    <col collapsed="false" customWidth="true" hidden="false" outlineLevel="0" max="31" min="31" style="0" width="9"/>
    <col collapsed="false" customWidth="true" hidden="false" outlineLevel="0" max="32" min="32" style="0" width="18"/>
    <col collapsed="false" customWidth="true" hidden="false" outlineLevel="0" max="33" min="33" style="0" width="9"/>
    <col collapsed="false" customWidth="true" hidden="false" outlineLevel="0" max="35" min="34" style="0" width="8"/>
    <col collapsed="false" customWidth="true" hidden="false" outlineLevel="0" max="37" min="36" style="0" width="11"/>
    <col collapsed="false" customWidth="true" hidden="false" outlineLevel="0" max="38" min="38" style="0" width="8"/>
    <col collapsed="false" customWidth="true" hidden="false" outlineLevel="0" max="39" min="39" style="0" width="6"/>
    <col collapsed="false" customWidth="true" hidden="false" outlineLevel="0" max="40" min="40" style="0" width="9"/>
    <col collapsed="false" customWidth="true" hidden="false" outlineLevel="0" max="41" min="41" style="0" width="8"/>
    <col collapsed="false" customWidth="true" hidden="false" outlineLevel="0" max="42" min="42" style="0" width="10"/>
    <col collapsed="false" customWidth="true" hidden="false" outlineLevel="0" max="43" min="43" style="0" width="7"/>
    <col collapsed="false" customWidth="true" hidden="false" outlineLevel="0" max="45" min="44" style="0" width="18"/>
    <col collapsed="false" customWidth="true" hidden="false" outlineLevel="0" max="47" min="46" style="0" width="22"/>
    <col collapsed="false" customWidth="true" hidden="false" outlineLevel="0" max="48" min="48" style="0" width="13"/>
    <col collapsed="false" customWidth="true" hidden="false" outlineLevel="0" max="49" min="49" style="0" width="11"/>
    <col collapsed="false" customWidth="true" hidden="false" outlineLevel="0" max="50" min="50" style="0" width="9"/>
    <col collapsed="false" customWidth="true" hidden="false" outlineLevel="0" max="51" min="51" style="0" width="40"/>
  </cols>
  <sheetData>
    <row r="1" customFormat="false" ht="21.75" hidden="false" customHeight="true" outlineLevel="0" collapsed="false">
      <c r="A1" s="31" t="s">
        <v>471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</row>
    <row r="2" customFormat="false" ht="19.4" hidden="false" customHeight="false" outlineLevel="0" collapsed="false">
      <c r="A2" s="32" t="s">
        <v>140</v>
      </c>
      <c r="B2" s="32" t="s">
        <v>141</v>
      </c>
      <c r="C2" s="32" t="s">
        <v>142</v>
      </c>
      <c r="D2" s="32" t="s">
        <v>143</v>
      </c>
      <c r="E2" s="32" t="s">
        <v>144</v>
      </c>
      <c r="F2" s="32" t="s">
        <v>145</v>
      </c>
      <c r="G2" s="32" t="s">
        <v>146</v>
      </c>
      <c r="H2" s="32" t="s">
        <v>147</v>
      </c>
      <c r="I2" s="32" t="s">
        <v>148</v>
      </c>
      <c r="J2" s="32" t="s">
        <v>149</v>
      </c>
      <c r="K2" s="32" t="s">
        <v>150</v>
      </c>
      <c r="L2" s="32" t="s">
        <v>151</v>
      </c>
      <c r="M2" s="32" t="s">
        <v>152</v>
      </c>
      <c r="N2" s="32" t="s">
        <v>153</v>
      </c>
      <c r="O2" s="32" t="s">
        <v>154</v>
      </c>
      <c r="P2" s="32" t="s">
        <v>155</v>
      </c>
      <c r="Q2" s="32" t="s">
        <v>156</v>
      </c>
      <c r="R2" s="32" t="s">
        <v>157</v>
      </c>
      <c r="S2" s="32" t="s">
        <v>117</v>
      </c>
      <c r="T2" s="32" t="s">
        <v>158</v>
      </c>
      <c r="U2" s="32" t="s">
        <v>159</v>
      </c>
      <c r="V2" s="32" t="s">
        <v>160</v>
      </c>
      <c r="W2" s="32" t="s">
        <v>161</v>
      </c>
      <c r="X2" s="32" t="s">
        <v>162</v>
      </c>
      <c r="Y2" s="32" t="s">
        <v>163</v>
      </c>
      <c r="Z2" s="32" t="s">
        <v>164</v>
      </c>
      <c r="AA2" s="32" t="s">
        <v>165</v>
      </c>
      <c r="AB2" s="32" t="s">
        <v>166</v>
      </c>
      <c r="AC2" s="32" t="s">
        <v>167</v>
      </c>
      <c r="AD2" s="32" t="s">
        <v>168</v>
      </c>
      <c r="AE2" s="32" t="s">
        <v>169</v>
      </c>
      <c r="AF2" s="32" t="s">
        <v>170</v>
      </c>
      <c r="AG2" s="32" t="s">
        <v>171</v>
      </c>
      <c r="AH2" s="32" t="s">
        <v>172</v>
      </c>
      <c r="AI2" s="32" t="s">
        <v>173</v>
      </c>
      <c r="AJ2" s="32" t="s">
        <v>174</v>
      </c>
      <c r="AK2" s="32" t="s">
        <v>175</v>
      </c>
      <c r="AL2" s="32" t="s">
        <v>176</v>
      </c>
      <c r="AM2" s="32" t="s">
        <v>177</v>
      </c>
      <c r="AN2" s="32" t="s">
        <v>178</v>
      </c>
      <c r="AO2" s="32" t="s">
        <v>179</v>
      </c>
      <c r="AP2" s="32" t="s">
        <v>180</v>
      </c>
      <c r="AQ2" s="32" t="s">
        <v>181</v>
      </c>
      <c r="AR2" s="32" t="s">
        <v>182</v>
      </c>
      <c r="AS2" s="32" t="s">
        <v>183</v>
      </c>
      <c r="AT2" s="32" t="s">
        <v>184</v>
      </c>
      <c r="AU2" s="32" t="s">
        <v>185</v>
      </c>
      <c r="AV2" s="32" t="s">
        <v>186</v>
      </c>
      <c r="AW2" s="32" t="s">
        <v>187</v>
      </c>
      <c r="AX2" s="32" t="s">
        <v>188</v>
      </c>
      <c r="AY2" s="32" t="s">
        <v>189</v>
      </c>
    </row>
    <row r="3" customFormat="false" ht="30" hidden="false" customHeight="true" outlineLevel="0" collapsed="false">
      <c r="A3" s="33" t="n">
        <v>1</v>
      </c>
      <c r="B3" s="34" t="s">
        <v>472</v>
      </c>
      <c r="C3" s="34" t="s">
        <v>473</v>
      </c>
      <c r="D3" s="34" t="s">
        <v>473</v>
      </c>
      <c r="E3" s="34" t="s">
        <v>474</v>
      </c>
      <c r="F3" s="33" t="s">
        <v>475</v>
      </c>
      <c r="G3" s="34" t="s">
        <v>476</v>
      </c>
      <c r="H3" s="34" t="s">
        <v>477</v>
      </c>
      <c r="I3" s="34" t="s">
        <v>478</v>
      </c>
      <c r="J3" s="33" t="s">
        <v>81</v>
      </c>
      <c r="K3" s="34" t="s">
        <v>194</v>
      </c>
      <c r="L3" s="34" t="s">
        <v>194</v>
      </c>
      <c r="M3" s="34" t="s">
        <v>479</v>
      </c>
      <c r="N3" s="33" t="s">
        <v>480</v>
      </c>
      <c r="O3" s="34" t="s">
        <v>481</v>
      </c>
      <c r="P3" s="33" t="s">
        <v>275</v>
      </c>
      <c r="Q3" s="34" t="s">
        <v>482</v>
      </c>
      <c r="R3" s="34" t="s">
        <v>483</v>
      </c>
      <c r="S3" s="34" t="s">
        <v>278</v>
      </c>
      <c r="T3" s="33" t="s">
        <v>279</v>
      </c>
      <c r="U3" s="33" t="s">
        <v>280</v>
      </c>
      <c r="V3" s="33"/>
      <c r="W3" s="33"/>
      <c r="X3" s="33"/>
      <c r="Y3" s="34" t="s">
        <v>484</v>
      </c>
      <c r="Z3" s="35" t="s">
        <v>203</v>
      </c>
      <c r="AA3" s="34" t="s">
        <v>485</v>
      </c>
      <c r="AB3" s="34" t="s">
        <v>285</v>
      </c>
      <c r="AC3" s="33" t="s">
        <v>106</v>
      </c>
      <c r="AD3" s="33" t="s">
        <v>286</v>
      </c>
      <c r="AE3" s="33" t="s">
        <v>203</v>
      </c>
      <c r="AF3" s="33" t="s">
        <v>206</v>
      </c>
      <c r="AG3" s="33" t="s">
        <v>203</v>
      </c>
      <c r="AH3" s="33" t="s">
        <v>203</v>
      </c>
      <c r="AI3" s="33" t="s">
        <v>207</v>
      </c>
      <c r="AJ3" s="33" t="s">
        <v>194</v>
      </c>
      <c r="AK3" s="33" t="s">
        <v>194</v>
      </c>
      <c r="AL3" s="35" t="s">
        <v>208</v>
      </c>
      <c r="AM3" s="35" t="s">
        <v>208</v>
      </c>
      <c r="AN3" s="35" t="s">
        <v>208</v>
      </c>
      <c r="AO3" s="33"/>
      <c r="AP3" s="33"/>
      <c r="AQ3" s="33"/>
      <c r="AR3" s="34" t="s">
        <v>480</v>
      </c>
      <c r="AS3" s="34" t="s">
        <v>486</v>
      </c>
      <c r="AT3" s="34" t="s">
        <v>487</v>
      </c>
      <c r="AU3" s="36" t="s">
        <v>69</v>
      </c>
      <c r="AV3" s="33" t="s">
        <v>81</v>
      </c>
      <c r="AW3" s="37" t="s">
        <v>93</v>
      </c>
      <c r="AX3" s="38" t="s">
        <v>84</v>
      </c>
      <c r="AY3" s="34" t="s">
        <v>488</v>
      </c>
    </row>
    <row r="4" customFormat="false" ht="30" hidden="false" customHeight="true" outlineLevel="0" collapsed="false">
      <c r="A4" s="39" t="n">
        <v>2</v>
      </c>
      <c r="B4" s="40" t="s">
        <v>472</v>
      </c>
      <c r="C4" s="40" t="s">
        <v>389</v>
      </c>
      <c r="D4" s="40" t="s">
        <v>389</v>
      </c>
      <c r="E4" s="40" t="s">
        <v>474</v>
      </c>
      <c r="F4" s="39" t="s">
        <v>475</v>
      </c>
      <c r="G4" s="40" t="s">
        <v>476</v>
      </c>
      <c r="H4" s="40" t="s">
        <v>477</v>
      </c>
      <c r="I4" s="40" t="s">
        <v>478</v>
      </c>
      <c r="J4" s="39" t="s">
        <v>81</v>
      </c>
      <c r="K4" s="40" t="s">
        <v>194</v>
      </c>
      <c r="L4" s="40" t="s">
        <v>194</v>
      </c>
      <c r="M4" s="40" t="s">
        <v>479</v>
      </c>
      <c r="N4" s="39" t="s">
        <v>480</v>
      </c>
      <c r="O4" s="40" t="s">
        <v>489</v>
      </c>
      <c r="P4" s="39" t="s">
        <v>275</v>
      </c>
      <c r="Q4" s="40" t="s">
        <v>490</v>
      </c>
      <c r="R4" s="40" t="s">
        <v>491</v>
      </c>
      <c r="S4" s="40" t="s">
        <v>295</v>
      </c>
      <c r="T4" s="39" t="s">
        <v>279</v>
      </c>
      <c r="U4" s="39" t="s">
        <v>492</v>
      </c>
      <c r="V4" s="39"/>
      <c r="W4" s="39"/>
      <c r="X4" s="39"/>
      <c r="Y4" s="40"/>
      <c r="Z4" s="36" t="s">
        <v>97</v>
      </c>
      <c r="AA4" s="40" t="s">
        <v>493</v>
      </c>
      <c r="AB4" s="40" t="s">
        <v>300</v>
      </c>
      <c r="AC4" s="39" t="s">
        <v>106</v>
      </c>
      <c r="AD4" s="39" t="s">
        <v>286</v>
      </c>
      <c r="AE4" s="39" t="s">
        <v>203</v>
      </c>
      <c r="AF4" s="39" t="s">
        <v>206</v>
      </c>
      <c r="AG4" s="39" t="s">
        <v>203</v>
      </c>
      <c r="AH4" s="39" t="s">
        <v>203</v>
      </c>
      <c r="AI4" s="39" t="s">
        <v>207</v>
      </c>
      <c r="AJ4" s="39" t="s">
        <v>194</v>
      </c>
      <c r="AK4" s="39" t="s">
        <v>194</v>
      </c>
      <c r="AL4" s="39"/>
      <c r="AM4" s="39"/>
      <c r="AN4" s="39"/>
      <c r="AO4" s="39"/>
      <c r="AP4" s="39"/>
      <c r="AQ4" s="39"/>
      <c r="AR4" s="40" t="s">
        <v>480</v>
      </c>
      <c r="AS4" s="40" t="s">
        <v>486</v>
      </c>
      <c r="AT4" s="40" t="s">
        <v>487</v>
      </c>
      <c r="AU4" s="36" t="s">
        <v>69</v>
      </c>
      <c r="AV4" s="33" t="s">
        <v>81</v>
      </c>
      <c r="AW4" s="43" t="s">
        <v>97</v>
      </c>
      <c r="AX4" s="44" t="s">
        <v>88</v>
      </c>
      <c r="AY4" s="40" t="s">
        <v>494</v>
      </c>
    </row>
    <row r="5" customFormat="false" ht="30" hidden="false" customHeight="true" outlineLevel="0" collapsed="false">
      <c r="A5" s="33" t="n">
        <v>3</v>
      </c>
      <c r="B5" s="34" t="s">
        <v>472</v>
      </c>
      <c r="C5" s="34" t="s">
        <v>389</v>
      </c>
      <c r="D5" s="34" t="s">
        <v>389</v>
      </c>
      <c r="E5" s="34" t="s">
        <v>474</v>
      </c>
      <c r="F5" s="33" t="s">
        <v>475</v>
      </c>
      <c r="G5" s="34" t="s">
        <v>476</v>
      </c>
      <c r="H5" s="34" t="s">
        <v>477</v>
      </c>
      <c r="I5" s="34" t="s">
        <v>478</v>
      </c>
      <c r="J5" s="33" t="s">
        <v>81</v>
      </c>
      <c r="K5" s="34" t="s">
        <v>194</v>
      </c>
      <c r="L5" s="34" t="s">
        <v>194</v>
      </c>
      <c r="M5" s="34" t="s">
        <v>479</v>
      </c>
      <c r="N5" s="33" t="s">
        <v>480</v>
      </c>
      <c r="O5" s="34" t="s">
        <v>495</v>
      </c>
      <c r="P5" s="33" t="s">
        <v>275</v>
      </c>
      <c r="Q5" s="34" t="s">
        <v>496</v>
      </c>
      <c r="R5" s="34" t="s">
        <v>497</v>
      </c>
      <c r="S5" s="34" t="s">
        <v>295</v>
      </c>
      <c r="T5" s="33" t="s">
        <v>279</v>
      </c>
      <c r="U5" s="33" t="s">
        <v>492</v>
      </c>
      <c r="V5" s="33"/>
      <c r="W5" s="33"/>
      <c r="X5" s="33"/>
      <c r="Y5" s="34"/>
      <c r="Z5" s="36" t="s">
        <v>97</v>
      </c>
      <c r="AA5" s="34" t="s">
        <v>498</v>
      </c>
      <c r="AB5" s="34" t="s">
        <v>300</v>
      </c>
      <c r="AC5" s="33" t="s">
        <v>106</v>
      </c>
      <c r="AD5" s="33" t="s">
        <v>286</v>
      </c>
      <c r="AE5" s="33" t="s">
        <v>203</v>
      </c>
      <c r="AF5" s="33" t="s">
        <v>206</v>
      </c>
      <c r="AG5" s="33" t="s">
        <v>203</v>
      </c>
      <c r="AH5" s="33" t="s">
        <v>203</v>
      </c>
      <c r="AI5" s="33" t="s">
        <v>207</v>
      </c>
      <c r="AJ5" s="33" t="s">
        <v>194</v>
      </c>
      <c r="AK5" s="33" t="s">
        <v>194</v>
      </c>
      <c r="AL5" s="33"/>
      <c r="AM5" s="33"/>
      <c r="AN5" s="33"/>
      <c r="AO5" s="33"/>
      <c r="AP5" s="33"/>
      <c r="AQ5" s="33"/>
      <c r="AR5" s="34" t="s">
        <v>480</v>
      </c>
      <c r="AS5" s="34" t="s">
        <v>486</v>
      </c>
      <c r="AT5" s="34" t="s">
        <v>487</v>
      </c>
      <c r="AU5" s="36" t="s">
        <v>69</v>
      </c>
      <c r="AV5" s="33" t="s">
        <v>81</v>
      </c>
      <c r="AW5" s="43" t="s">
        <v>97</v>
      </c>
      <c r="AX5" s="44" t="s">
        <v>88</v>
      </c>
      <c r="AY5" s="34"/>
    </row>
    <row r="6" customFormat="false" ht="30" hidden="false" customHeight="true" outlineLevel="0" collapsed="false">
      <c r="A6" s="39" t="n">
        <v>4</v>
      </c>
      <c r="B6" s="40" t="s">
        <v>472</v>
      </c>
      <c r="C6" s="40" t="s">
        <v>389</v>
      </c>
      <c r="D6" s="40" t="s">
        <v>389</v>
      </c>
      <c r="E6" s="40" t="s">
        <v>474</v>
      </c>
      <c r="F6" s="39" t="s">
        <v>475</v>
      </c>
      <c r="G6" s="40" t="s">
        <v>476</v>
      </c>
      <c r="H6" s="40" t="s">
        <v>477</v>
      </c>
      <c r="I6" s="40" t="s">
        <v>478</v>
      </c>
      <c r="J6" s="39" t="s">
        <v>81</v>
      </c>
      <c r="K6" s="40" t="s">
        <v>194</v>
      </c>
      <c r="L6" s="40" t="s">
        <v>194</v>
      </c>
      <c r="M6" s="40" t="s">
        <v>479</v>
      </c>
      <c r="N6" s="39" t="s">
        <v>480</v>
      </c>
      <c r="O6" s="40" t="s">
        <v>499</v>
      </c>
      <c r="P6" s="39" t="s">
        <v>275</v>
      </c>
      <c r="Q6" s="40" t="s">
        <v>500</v>
      </c>
      <c r="R6" s="40" t="s">
        <v>501</v>
      </c>
      <c r="S6" s="40" t="s">
        <v>295</v>
      </c>
      <c r="T6" s="39" t="s">
        <v>279</v>
      </c>
      <c r="U6" s="39" t="s">
        <v>492</v>
      </c>
      <c r="V6" s="39"/>
      <c r="W6" s="39"/>
      <c r="X6" s="39"/>
      <c r="Y6" s="40"/>
      <c r="Z6" s="36" t="s">
        <v>97</v>
      </c>
      <c r="AA6" s="40" t="s">
        <v>502</v>
      </c>
      <c r="AB6" s="40" t="s">
        <v>300</v>
      </c>
      <c r="AC6" s="39" t="s">
        <v>106</v>
      </c>
      <c r="AD6" s="39" t="s">
        <v>286</v>
      </c>
      <c r="AE6" s="39" t="s">
        <v>203</v>
      </c>
      <c r="AF6" s="39" t="s">
        <v>206</v>
      </c>
      <c r="AG6" s="39" t="s">
        <v>203</v>
      </c>
      <c r="AH6" s="39" t="s">
        <v>203</v>
      </c>
      <c r="AI6" s="39" t="s">
        <v>207</v>
      </c>
      <c r="AJ6" s="39" t="s">
        <v>194</v>
      </c>
      <c r="AK6" s="39" t="s">
        <v>194</v>
      </c>
      <c r="AL6" s="39"/>
      <c r="AM6" s="39"/>
      <c r="AN6" s="39"/>
      <c r="AO6" s="39"/>
      <c r="AP6" s="39"/>
      <c r="AQ6" s="39"/>
      <c r="AR6" s="40" t="s">
        <v>480</v>
      </c>
      <c r="AS6" s="40" t="s">
        <v>486</v>
      </c>
      <c r="AT6" s="40" t="s">
        <v>487</v>
      </c>
      <c r="AU6" s="36" t="s">
        <v>69</v>
      </c>
      <c r="AV6" s="33" t="s">
        <v>81</v>
      </c>
      <c r="AW6" s="43" t="s">
        <v>97</v>
      </c>
      <c r="AX6" s="44" t="s">
        <v>88</v>
      </c>
      <c r="AY6" s="40"/>
    </row>
    <row r="7" customFormat="false" ht="30" hidden="false" customHeight="true" outlineLevel="0" collapsed="false">
      <c r="A7" s="33" t="n">
        <v>5</v>
      </c>
      <c r="B7" s="34" t="s">
        <v>472</v>
      </c>
      <c r="C7" s="34" t="s">
        <v>389</v>
      </c>
      <c r="D7" s="34" t="s">
        <v>389</v>
      </c>
      <c r="E7" s="34" t="s">
        <v>474</v>
      </c>
      <c r="F7" s="33" t="s">
        <v>475</v>
      </c>
      <c r="G7" s="34" t="s">
        <v>476</v>
      </c>
      <c r="H7" s="34" t="s">
        <v>477</v>
      </c>
      <c r="I7" s="34" t="s">
        <v>478</v>
      </c>
      <c r="J7" s="33" t="s">
        <v>81</v>
      </c>
      <c r="K7" s="34" t="s">
        <v>194</v>
      </c>
      <c r="L7" s="34" t="s">
        <v>194</v>
      </c>
      <c r="M7" s="34" t="s">
        <v>479</v>
      </c>
      <c r="N7" s="33" t="s">
        <v>480</v>
      </c>
      <c r="O7" s="34" t="s">
        <v>503</v>
      </c>
      <c r="P7" s="33" t="s">
        <v>275</v>
      </c>
      <c r="Q7" s="34" t="s">
        <v>504</v>
      </c>
      <c r="R7" s="34" t="s">
        <v>505</v>
      </c>
      <c r="S7" s="34" t="s">
        <v>393</v>
      </c>
      <c r="T7" s="33" t="s">
        <v>279</v>
      </c>
      <c r="U7" s="33" t="s">
        <v>394</v>
      </c>
      <c r="V7" s="33"/>
      <c r="W7" s="33"/>
      <c r="X7" s="33"/>
      <c r="Y7" s="34"/>
      <c r="Z7" s="36" t="s">
        <v>97</v>
      </c>
      <c r="AA7" s="34" t="s">
        <v>506</v>
      </c>
      <c r="AB7" s="34" t="s">
        <v>180</v>
      </c>
      <c r="AC7" s="33" t="s">
        <v>106</v>
      </c>
      <c r="AD7" s="33" t="s">
        <v>286</v>
      </c>
      <c r="AE7" s="33" t="s">
        <v>203</v>
      </c>
      <c r="AF7" s="33" t="s">
        <v>206</v>
      </c>
      <c r="AG7" s="33" t="s">
        <v>203</v>
      </c>
      <c r="AH7" s="33" t="s">
        <v>203</v>
      </c>
      <c r="AI7" s="33" t="s">
        <v>207</v>
      </c>
      <c r="AJ7" s="33" t="s">
        <v>194</v>
      </c>
      <c r="AK7" s="33" t="s">
        <v>194</v>
      </c>
      <c r="AL7" s="33"/>
      <c r="AM7" s="33"/>
      <c r="AN7" s="33"/>
      <c r="AO7" s="33"/>
      <c r="AP7" s="35" t="s">
        <v>208</v>
      </c>
      <c r="AQ7" s="33"/>
      <c r="AR7" s="34" t="s">
        <v>480</v>
      </c>
      <c r="AS7" s="34" t="s">
        <v>486</v>
      </c>
      <c r="AT7" s="34" t="s">
        <v>487</v>
      </c>
      <c r="AU7" s="36" t="s">
        <v>69</v>
      </c>
      <c r="AV7" s="33" t="s">
        <v>81</v>
      </c>
      <c r="AW7" s="43" t="s">
        <v>97</v>
      </c>
      <c r="AX7" s="44" t="s">
        <v>88</v>
      </c>
      <c r="AY7" s="34"/>
    </row>
    <row r="8" customFormat="false" ht="30" hidden="false" customHeight="true" outlineLevel="0" collapsed="false">
      <c r="A8" s="39" t="n">
        <v>6</v>
      </c>
      <c r="B8" s="40" t="s">
        <v>472</v>
      </c>
      <c r="C8" s="40" t="s">
        <v>389</v>
      </c>
      <c r="D8" s="40" t="s">
        <v>389</v>
      </c>
      <c r="E8" s="40" t="s">
        <v>474</v>
      </c>
      <c r="F8" s="39" t="s">
        <v>475</v>
      </c>
      <c r="G8" s="40" t="s">
        <v>476</v>
      </c>
      <c r="H8" s="40" t="s">
        <v>477</v>
      </c>
      <c r="I8" s="40" t="s">
        <v>478</v>
      </c>
      <c r="J8" s="39" t="s">
        <v>81</v>
      </c>
      <c r="K8" s="40" t="s">
        <v>194</v>
      </c>
      <c r="L8" s="40" t="s">
        <v>194</v>
      </c>
      <c r="M8" s="40" t="s">
        <v>479</v>
      </c>
      <c r="N8" s="39" t="s">
        <v>480</v>
      </c>
      <c r="O8" s="40" t="s">
        <v>507</v>
      </c>
      <c r="P8" s="39" t="s">
        <v>275</v>
      </c>
      <c r="Q8" s="40" t="s">
        <v>508</v>
      </c>
      <c r="R8" s="40" t="s">
        <v>509</v>
      </c>
      <c r="S8" s="40" t="s">
        <v>393</v>
      </c>
      <c r="T8" s="39" t="s">
        <v>279</v>
      </c>
      <c r="U8" s="39" t="s">
        <v>394</v>
      </c>
      <c r="V8" s="39"/>
      <c r="W8" s="39"/>
      <c r="X8" s="39"/>
      <c r="Y8" s="40"/>
      <c r="Z8" s="36" t="s">
        <v>97</v>
      </c>
      <c r="AA8" s="40" t="s">
        <v>506</v>
      </c>
      <c r="AB8" s="40" t="s">
        <v>180</v>
      </c>
      <c r="AC8" s="39" t="s">
        <v>106</v>
      </c>
      <c r="AD8" s="39" t="s">
        <v>286</v>
      </c>
      <c r="AE8" s="39" t="s">
        <v>203</v>
      </c>
      <c r="AF8" s="39" t="s">
        <v>206</v>
      </c>
      <c r="AG8" s="39" t="s">
        <v>203</v>
      </c>
      <c r="AH8" s="39" t="s">
        <v>203</v>
      </c>
      <c r="AI8" s="39" t="s">
        <v>207</v>
      </c>
      <c r="AJ8" s="39" t="s">
        <v>194</v>
      </c>
      <c r="AK8" s="39" t="s">
        <v>194</v>
      </c>
      <c r="AL8" s="39"/>
      <c r="AM8" s="39"/>
      <c r="AN8" s="39"/>
      <c r="AO8" s="39"/>
      <c r="AP8" s="35" t="s">
        <v>208</v>
      </c>
      <c r="AQ8" s="39"/>
      <c r="AR8" s="40" t="s">
        <v>480</v>
      </c>
      <c r="AS8" s="40" t="s">
        <v>486</v>
      </c>
      <c r="AT8" s="40" t="s">
        <v>487</v>
      </c>
      <c r="AU8" s="36" t="s">
        <v>69</v>
      </c>
      <c r="AV8" s="33" t="s">
        <v>81</v>
      </c>
      <c r="AW8" s="43" t="s">
        <v>97</v>
      </c>
      <c r="AX8" s="44" t="s">
        <v>88</v>
      </c>
      <c r="AY8" s="40" t="s">
        <v>510</v>
      </c>
    </row>
    <row r="9" customFormat="false" ht="30" hidden="false" customHeight="true" outlineLevel="0" collapsed="false">
      <c r="A9" s="33" t="n">
        <v>7</v>
      </c>
      <c r="B9" s="34" t="s">
        <v>472</v>
      </c>
      <c r="C9" s="34" t="s">
        <v>511</v>
      </c>
      <c r="D9" s="34" t="s">
        <v>511</v>
      </c>
      <c r="E9" s="34" t="s">
        <v>474</v>
      </c>
      <c r="F9" s="33" t="s">
        <v>475</v>
      </c>
      <c r="G9" s="34" t="s">
        <v>476</v>
      </c>
      <c r="H9" s="34" t="s">
        <v>477</v>
      </c>
      <c r="I9" s="34" t="s">
        <v>478</v>
      </c>
      <c r="J9" s="33" t="s">
        <v>81</v>
      </c>
      <c r="K9" s="34" t="s">
        <v>194</v>
      </c>
      <c r="L9" s="34" t="s">
        <v>194</v>
      </c>
      <c r="M9" s="34" t="s">
        <v>479</v>
      </c>
      <c r="N9" s="33" t="s">
        <v>480</v>
      </c>
      <c r="O9" s="34" t="s">
        <v>512</v>
      </c>
      <c r="P9" s="33" t="s">
        <v>275</v>
      </c>
      <c r="Q9" s="34" t="s">
        <v>513</v>
      </c>
      <c r="R9" s="34" t="s">
        <v>514</v>
      </c>
      <c r="S9" s="34" t="s">
        <v>511</v>
      </c>
      <c r="T9" s="33" t="s">
        <v>279</v>
      </c>
      <c r="U9" s="33" t="s">
        <v>280</v>
      </c>
      <c r="V9" s="33"/>
      <c r="W9" s="33"/>
      <c r="X9" s="33"/>
      <c r="Y9" s="34"/>
      <c r="Z9" s="35" t="s">
        <v>203</v>
      </c>
      <c r="AA9" s="34" t="s">
        <v>515</v>
      </c>
      <c r="AB9" s="34" t="s">
        <v>300</v>
      </c>
      <c r="AC9" s="33" t="s">
        <v>108</v>
      </c>
      <c r="AD9" s="33" t="s">
        <v>335</v>
      </c>
      <c r="AE9" s="33" t="s">
        <v>203</v>
      </c>
      <c r="AF9" s="33" t="s">
        <v>206</v>
      </c>
      <c r="AG9" s="33" t="s">
        <v>203</v>
      </c>
      <c r="AH9" s="33" t="s">
        <v>203</v>
      </c>
      <c r="AI9" s="33" t="s">
        <v>207</v>
      </c>
      <c r="AJ9" s="33" t="s">
        <v>194</v>
      </c>
      <c r="AK9" s="33" t="s">
        <v>194</v>
      </c>
      <c r="AL9" s="33"/>
      <c r="AM9" s="33"/>
      <c r="AN9" s="35" t="s">
        <v>208</v>
      </c>
      <c r="AO9" s="33"/>
      <c r="AP9" s="33"/>
      <c r="AQ9" s="33"/>
      <c r="AR9" s="34" t="s">
        <v>480</v>
      </c>
      <c r="AS9" s="34" t="s">
        <v>486</v>
      </c>
      <c r="AT9" s="34" t="s">
        <v>487</v>
      </c>
      <c r="AU9" s="36" t="s">
        <v>69</v>
      </c>
      <c r="AV9" s="33" t="s">
        <v>81</v>
      </c>
      <c r="AW9" s="36" t="s">
        <v>95</v>
      </c>
      <c r="AX9" s="42" t="s">
        <v>86</v>
      </c>
      <c r="AY9" s="34" t="s">
        <v>516</v>
      </c>
    </row>
    <row r="10" customFormat="false" ht="30" hidden="false" customHeight="true" outlineLevel="0" collapsed="false">
      <c r="A10" s="39" t="n">
        <v>8</v>
      </c>
      <c r="B10" s="40" t="s">
        <v>472</v>
      </c>
      <c r="C10" s="40" t="s">
        <v>403</v>
      </c>
      <c r="D10" s="40" t="s">
        <v>403</v>
      </c>
      <c r="E10" s="40" t="s">
        <v>474</v>
      </c>
      <c r="F10" s="39" t="s">
        <v>475</v>
      </c>
      <c r="G10" s="40" t="s">
        <v>476</v>
      </c>
      <c r="H10" s="40" t="s">
        <v>477</v>
      </c>
      <c r="I10" s="40" t="s">
        <v>478</v>
      </c>
      <c r="J10" s="39" t="s">
        <v>81</v>
      </c>
      <c r="K10" s="40" t="s">
        <v>194</v>
      </c>
      <c r="L10" s="40" t="s">
        <v>194</v>
      </c>
      <c r="M10" s="40" t="s">
        <v>479</v>
      </c>
      <c r="N10" s="39" t="s">
        <v>480</v>
      </c>
      <c r="O10" s="40" t="s">
        <v>517</v>
      </c>
      <c r="P10" s="39" t="s">
        <v>275</v>
      </c>
      <c r="Q10" s="40" t="s">
        <v>518</v>
      </c>
      <c r="R10" s="40" t="s">
        <v>519</v>
      </c>
      <c r="S10" s="40" t="s">
        <v>330</v>
      </c>
      <c r="T10" s="39" t="s">
        <v>520</v>
      </c>
      <c r="U10" s="39" t="s">
        <v>194</v>
      </c>
      <c r="V10" s="39"/>
      <c r="W10" s="39"/>
      <c r="X10" s="39"/>
      <c r="Y10" s="40" t="s">
        <v>521</v>
      </c>
      <c r="Z10" s="35" t="s">
        <v>203</v>
      </c>
      <c r="AA10" s="40" t="s">
        <v>522</v>
      </c>
      <c r="AB10" s="40" t="s">
        <v>523</v>
      </c>
      <c r="AC10" s="39" t="s">
        <v>108</v>
      </c>
      <c r="AD10" s="39" t="s">
        <v>335</v>
      </c>
      <c r="AE10" s="39" t="s">
        <v>203</v>
      </c>
      <c r="AF10" s="39" t="s">
        <v>206</v>
      </c>
      <c r="AG10" s="39" t="s">
        <v>203</v>
      </c>
      <c r="AH10" s="39" t="s">
        <v>203</v>
      </c>
      <c r="AI10" s="39" t="s">
        <v>207</v>
      </c>
      <c r="AJ10" s="39" t="s">
        <v>194</v>
      </c>
      <c r="AK10" s="39" t="s">
        <v>194</v>
      </c>
      <c r="AL10" s="35" t="s">
        <v>208</v>
      </c>
      <c r="AM10" s="35" t="s">
        <v>208</v>
      </c>
      <c r="AN10" s="39"/>
      <c r="AO10" s="39"/>
      <c r="AP10" s="39"/>
      <c r="AQ10" s="39"/>
      <c r="AR10" s="40" t="s">
        <v>480</v>
      </c>
      <c r="AS10" s="40" t="s">
        <v>486</v>
      </c>
      <c r="AT10" s="40" t="s">
        <v>487</v>
      </c>
      <c r="AU10" s="36" t="s">
        <v>69</v>
      </c>
      <c r="AV10" s="33" t="s">
        <v>81</v>
      </c>
      <c r="AW10" s="36" t="s">
        <v>95</v>
      </c>
      <c r="AX10" s="42" t="s">
        <v>86</v>
      </c>
      <c r="AY10" s="40"/>
    </row>
    <row r="11" customFormat="false" ht="30" hidden="false" customHeight="true" outlineLevel="0" collapsed="false">
      <c r="A11" s="33" t="n">
        <v>9</v>
      </c>
      <c r="B11" s="34" t="s">
        <v>472</v>
      </c>
      <c r="C11" s="34" t="s">
        <v>403</v>
      </c>
      <c r="D11" s="34" t="s">
        <v>403</v>
      </c>
      <c r="E11" s="34" t="s">
        <v>474</v>
      </c>
      <c r="F11" s="33" t="s">
        <v>475</v>
      </c>
      <c r="G11" s="34" t="s">
        <v>476</v>
      </c>
      <c r="H11" s="34" t="s">
        <v>477</v>
      </c>
      <c r="I11" s="34" t="s">
        <v>478</v>
      </c>
      <c r="J11" s="33" t="s">
        <v>81</v>
      </c>
      <c r="K11" s="34" t="s">
        <v>194</v>
      </c>
      <c r="L11" s="34" t="s">
        <v>194</v>
      </c>
      <c r="M11" s="34" t="s">
        <v>479</v>
      </c>
      <c r="N11" s="33" t="s">
        <v>480</v>
      </c>
      <c r="O11" s="34" t="s">
        <v>524</v>
      </c>
      <c r="P11" s="33" t="s">
        <v>275</v>
      </c>
      <c r="Q11" s="34" t="s">
        <v>525</v>
      </c>
      <c r="R11" s="34" t="s">
        <v>526</v>
      </c>
      <c r="S11" s="34" t="s">
        <v>330</v>
      </c>
      <c r="T11" s="33" t="s">
        <v>331</v>
      </c>
      <c r="U11" s="33" t="s">
        <v>332</v>
      </c>
      <c r="V11" s="33"/>
      <c r="W11" s="33"/>
      <c r="X11" s="33"/>
      <c r="Y11" s="34" t="s">
        <v>527</v>
      </c>
      <c r="Z11" s="35" t="s">
        <v>203</v>
      </c>
      <c r="AA11" s="34" t="s">
        <v>528</v>
      </c>
      <c r="AB11" s="34" t="s">
        <v>410</v>
      </c>
      <c r="AC11" s="33" t="s">
        <v>108</v>
      </c>
      <c r="AD11" s="33" t="s">
        <v>335</v>
      </c>
      <c r="AE11" s="33" t="s">
        <v>203</v>
      </c>
      <c r="AF11" s="33" t="s">
        <v>206</v>
      </c>
      <c r="AG11" s="33" t="s">
        <v>203</v>
      </c>
      <c r="AH11" s="33" t="s">
        <v>203</v>
      </c>
      <c r="AI11" s="33" t="s">
        <v>203</v>
      </c>
      <c r="AJ11" s="33" t="s">
        <v>81</v>
      </c>
      <c r="AK11" s="33" t="s">
        <v>81</v>
      </c>
      <c r="AL11" s="35" t="s">
        <v>208</v>
      </c>
      <c r="AM11" s="33"/>
      <c r="AN11" s="33"/>
      <c r="AO11" s="33"/>
      <c r="AP11" s="35" t="s">
        <v>208</v>
      </c>
      <c r="AQ11" s="33"/>
      <c r="AR11" s="34" t="s">
        <v>480</v>
      </c>
      <c r="AS11" s="34" t="s">
        <v>486</v>
      </c>
      <c r="AT11" s="34" t="s">
        <v>487</v>
      </c>
      <c r="AU11" s="36" t="s">
        <v>69</v>
      </c>
      <c r="AV11" s="33" t="s">
        <v>81</v>
      </c>
      <c r="AW11" s="36" t="s">
        <v>95</v>
      </c>
      <c r="AX11" s="42" t="s">
        <v>86</v>
      </c>
      <c r="AY11" s="34"/>
    </row>
    <row r="12" customFormat="false" ht="30" hidden="false" customHeight="true" outlineLevel="0" collapsed="false">
      <c r="A12" s="39" t="n">
        <v>10</v>
      </c>
      <c r="B12" s="40" t="s">
        <v>472</v>
      </c>
      <c r="C12" s="40" t="s">
        <v>529</v>
      </c>
      <c r="D12" s="40" t="s">
        <v>529</v>
      </c>
      <c r="E12" s="40" t="s">
        <v>474</v>
      </c>
      <c r="F12" s="39" t="s">
        <v>475</v>
      </c>
      <c r="G12" s="40" t="s">
        <v>476</v>
      </c>
      <c r="H12" s="40" t="s">
        <v>477</v>
      </c>
      <c r="I12" s="40" t="s">
        <v>478</v>
      </c>
      <c r="J12" s="39" t="s">
        <v>81</v>
      </c>
      <c r="K12" s="40" t="s">
        <v>194</v>
      </c>
      <c r="L12" s="40" t="s">
        <v>194</v>
      </c>
      <c r="M12" s="40" t="s">
        <v>479</v>
      </c>
      <c r="N12" s="39" t="s">
        <v>480</v>
      </c>
      <c r="O12" s="40" t="s">
        <v>530</v>
      </c>
      <c r="P12" s="39" t="s">
        <v>275</v>
      </c>
      <c r="Q12" s="40" t="s">
        <v>531</v>
      </c>
      <c r="R12" s="40" t="s">
        <v>532</v>
      </c>
      <c r="S12" s="40" t="s">
        <v>178</v>
      </c>
      <c r="T12" s="39" t="s">
        <v>533</v>
      </c>
      <c r="U12" s="39" t="s">
        <v>534</v>
      </c>
      <c r="V12" s="39"/>
      <c r="W12" s="39"/>
      <c r="X12" s="39"/>
      <c r="Y12" s="40"/>
      <c r="Z12" s="35" t="s">
        <v>203</v>
      </c>
      <c r="AA12" s="40" t="s">
        <v>535</v>
      </c>
      <c r="AB12" s="40" t="s">
        <v>285</v>
      </c>
      <c r="AC12" s="39" t="s">
        <v>108</v>
      </c>
      <c r="AD12" s="39" t="s">
        <v>335</v>
      </c>
      <c r="AE12" s="39" t="s">
        <v>203</v>
      </c>
      <c r="AF12" s="39" t="s">
        <v>206</v>
      </c>
      <c r="AG12" s="39" t="s">
        <v>203</v>
      </c>
      <c r="AH12" s="39" t="s">
        <v>203</v>
      </c>
      <c r="AI12" s="39" t="s">
        <v>207</v>
      </c>
      <c r="AJ12" s="39" t="s">
        <v>194</v>
      </c>
      <c r="AK12" s="39" t="s">
        <v>194</v>
      </c>
      <c r="AL12" s="39"/>
      <c r="AM12" s="35" t="s">
        <v>208</v>
      </c>
      <c r="AN12" s="35" t="s">
        <v>208</v>
      </c>
      <c r="AO12" s="39"/>
      <c r="AP12" s="39"/>
      <c r="AQ12" s="39"/>
      <c r="AR12" s="40" t="s">
        <v>480</v>
      </c>
      <c r="AS12" s="40" t="s">
        <v>486</v>
      </c>
      <c r="AT12" s="40" t="s">
        <v>487</v>
      </c>
      <c r="AU12" s="36" t="s">
        <v>69</v>
      </c>
      <c r="AV12" s="33" t="s">
        <v>81</v>
      </c>
      <c r="AW12" s="36" t="s">
        <v>95</v>
      </c>
      <c r="AX12" s="42" t="s">
        <v>86</v>
      </c>
      <c r="AY12" s="40" t="s">
        <v>536</v>
      </c>
    </row>
    <row r="13" customFormat="false" ht="30" hidden="false" customHeight="true" outlineLevel="0" collapsed="false">
      <c r="A13" s="33" t="n">
        <v>11</v>
      </c>
      <c r="B13" s="34" t="s">
        <v>472</v>
      </c>
      <c r="C13" s="34" t="s">
        <v>537</v>
      </c>
      <c r="D13" s="34" t="s">
        <v>538</v>
      </c>
      <c r="E13" s="34" t="s">
        <v>474</v>
      </c>
      <c r="F13" s="33" t="s">
        <v>475</v>
      </c>
      <c r="G13" s="34" t="s">
        <v>539</v>
      </c>
      <c r="H13" s="34" t="s">
        <v>540</v>
      </c>
      <c r="I13" s="34" t="s">
        <v>541</v>
      </c>
      <c r="J13" s="33" t="s">
        <v>542</v>
      </c>
      <c r="K13" s="34" t="s">
        <v>194</v>
      </c>
      <c r="L13" s="34" t="s">
        <v>194</v>
      </c>
      <c r="M13" s="34" t="s">
        <v>543</v>
      </c>
      <c r="N13" s="33" t="s">
        <v>363</v>
      </c>
      <c r="O13" s="34" t="s">
        <v>544</v>
      </c>
      <c r="P13" s="33" t="s">
        <v>194</v>
      </c>
      <c r="Q13" s="34" t="s">
        <v>545</v>
      </c>
      <c r="R13" s="34" t="s">
        <v>546</v>
      </c>
      <c r="S13" s="34" t="s">
        <v>295</v>
      </c>
      <c r="T13" s="33" t="s">
        <v>279</v>
      </c>
      <c r="U13" s="33" t="s">
        <v>547</v>
      </c>
      <c r="V13" s="33" t="s">
        <v>548</v>
      </c>
      <c r="W13" s="33"/>
      <c r="X13" s="33"/>
      <c r="Y13" s="34" t="s">
        <v>549</v>
      </c>
      <c r="Z13" s="35" t="s">
        <v>203</v>
      </c>
      <c r="AA13" s="34" t="s">
        <v>550</v>
      </c>
      <c r="AB13" s="34" t="s">
        <v>551</v>
      </c>
      <c r="AC13" s="33" t="s">
        <v>110</v>
      </c>
      <c r="AD13" s="33" t="s">
        <v>552</v>
      </c>
      <c r="AE13" s="33" t="s">
        <v>203</v>
      </c>
      <c r="AF13" s="33" t="s">
        <v>206</v>
      </c>
      <c r="AG13" s="33" t="s">
        <v>203</v>
      </c>
      <c r="AH13" s="33" t="s">
        <v>242</v>
      </c>
      <c r="AI13" s="33" t="s">
        <v>207</v>
      </c>
      <c r="AJ13" s="33" t="s">
        <v>194</v>
      </c>
      <c r="AK13" s="33" t="s">
        <v>194</v>
      </c>
      <c r="AL13" s="33"/>
      <c r="AM13" s="33"/>
      <c r="AN13" s="33"/>
      <c r="AO13" s="35" t="s">
        <v>208</v>
      </c>
      <c r="AP13" s="33"/>
      <c r="AQ13" s="33"/>
      <c r="AR13" s="34" t="s">
        <v>363</v>
      </c>
      <c r="AS13" s="34" t="s">
        <v>553</v>
      </c>
      <c r="AT13" s="34" t="s">
        <v>554</v>
      </c>
      <c r="AU13" s="41" t="s">
        <v>75</v>
      </c>
      <c r="AV13" s="33" t="s">
        <v>81</v>
      </c>
      <c r="AW13" s="36" t="s">
        <v>95</v>
      </c>
      <c r="AX13" s="42" t="s">
        <v>86</v>
      </c>
      <c r="AY13" s="34" t="s">
        <v>555</v>
      </c>
    </row>
    <row r="14" customFormat="false" ht="30" hidden="false" customHeight="true" outlineLevel="0" collapsed="false">
      <c r="A14" s="39" t="n">
        <v>12</v>
      </c>
      <c r="B14" s="40" t="s">
        <v>472</v>
      </c>
      <c r="C14" s="40" t="s">
        <v>537</v>
      </c>
      <c r="D14" s="40" t="s">
        <v>538</v>
      </c>
      <c r="E14" s="40" t="s">
        <v>474</v>
      </c>
      <c r="F14" s="39" t="s">
        <v>475</v>
      </c>
      <c r="G14" s="40" t="s">
        <v>539</v>
      </c>
      <c r="H14" s="40" t="s">
        <v>540</v>
      </c>
      <c r="I14" s="40" t="s">
        <v>541</v>
      </c>
      <c r="J14" s="39" t="s">
        <v>542</v>
      </c>
      <c r="K14" s="40" t="s">
        <v>194</v>
      </c>
      <c r="L14" s="40" t="s">
        <v>194</v>
      </c>
      <c r="M14" s="40" t="s">
        <v>543</v>
      </c>
      <c r="N14" s="39" t="s">
        <v>363</v>
      </c>
      <c r="O14" s="40" t="s">
        <v>556</v>
      </c>
      <c r="P14" s="39" t="s">
        <v>194</v>
      </c>
      <c r="Q14" s="40" t="s">
        <v>557</v>
      </c>
      <c r="R14" s="40" t="s">
        <v>558</v>
      </c>
      <c r="S14" s="40" t="s">
        <v>295</v>
      </c>
      <c r="T14" s="39" t="s">
        <v>279</v>
      </c>
      <c r="U14" s="39" t="s">
        <v>559</v>
      </c>
      <c r="V14" s="39" t="s">
        <v>560</v>
      </c>
      <c r="W14" s="39"/>
      <c r="X14" s="39"/>
      <c r="Y14" s="40" t="s">
        <v>561</v>
      </c>
      <c r="Z14" s="35" t="s">
        <v>203</v>
      </c>
      <c r="AA14" s="40" t="s">
        <v>562</v>
      </c>
      <c r="AB14" s="40" t="s">
        <v>300</v>
      </c>
      <c r="AC14" s="39" t="s">
        <v>110</v>
      </c>
      <c r="AD14" s="39" t="s">
        <v>563</v>
      </c>
      <c r="AE14" s="39" t="s">
        <v>203</v>
      </c>
      <c r="AF14" s="39" t="s">
        <v>206</v>
      </c>
      <c r="AG14" s="39" t="s">
        <v>203</v>
      </c>
      <c r="AH14" s="39" t="s">
        <v>242</v>
      </c>
      <c r="AI14" s="39" t="s">
        <v>207</v>
      </c>
      <c r="AJ14" s="39" t="s">
        <v>194</v>
      </c>
      <c r="AK14" s="39" t="s">
        <v>194</v>
      </c>
      <c r="AL14" s="39"/>
      <c r="AM14" s="39"/>
      <c r="AN14" s="39"/>
      <c r="AO14" s="35" t="s">
        <v>208</v>
      </c>
      <c r="AP14" s="39"/>
      <c r="AQ14" s="39"/>
      <c r="AR14" s="40" t="s">
        <v>363</v>
      </c>
      <c r="AS14" s="40" t="s">
        <v>553</v>
      </c>
      <c r="AT14" s="40" t="s">
        <v>554</v>
      </c>
      <c r="AU14" s="41" t="s">
        <v>75</v>
      </c>
      <c r="AV14" s="33" t="s">
        <v>81</v>
      </c>
      <c r="AW14" s="43" t="s">
        <v>97</v>
      </c>
      <c r="AX14" s="44" t="s">
        <v>88</v>
      </c>
      <c r="AY14" s="40" t="s">
        <v>564</v>
      </c>
    </row>
    <row r="15" customFormat="false" ht="30" hidden="false" customHeight="true" outlineLevel="0" collapsed="false">
      <c r="A15" s="33" t="n">
        <v>13</v>
      </c>
      <c r="B15" s="34" t="s">
        <v>472</v>
      </c>
      <c r="C15" s="34" t="s">
        <v>538</v>
      </c>
      <c r="D15" s="34" t="s">
        <v>538</v>
      </c>
      <c r="E15" s="34" t="s">
        <v>474</v>
      </c>
      <c r="F15" s="33" t="s">
        <v>475</v>
      </c>
      <c r="G15" s="34" t="s">
        <v>194</v>
      </c>
      <c r="H15" s="34" t="s">
        <v>213</v>
      </c>
      <c r="I15" s="34" t="s">
        <v>194</v>
      </c>
      <c r="J15" s="33" t="s">
        <v>194</v>
      </c>
      <c r="K15" s="34" t="s">
        <v>194</v>
      </c>
      <c r="L15" s="34" t="s">
        <v>194</v>
      </c>
      <c r="M15" s="34" t="s">
        <v>194</v>
      </c>
      <c r="N15" s="33" t="s">
        <v>214</v>
      </c>
      <c r="O15" s="34" t="s">
        <v>565</v>
      </c>
      <c r="P15" s="33" t="s">
        <v>194</v>
      </c>
      <c r="Q15" s="34" t="s">
        <v>566</v>
      </c>
      <c r="R15" s="34" t="s">
        <v>567</v>
      </c>
      <c r="S15" s="34" t="s">
        <v>568</v>
      </c>
      <c r="T15" s="33" t="s">
        <v>201</v>
      </c>
      <c r="U15" s="33" t="s">
        <v>194</v>
      </c>
      <c r="V15" s="33"/>
      <c r="W15" s="33"/>
      <c r="X15" s="33"/>
      <c r="Y15" s="34"/>
      <c r="Z15" s="35" t="s">
        <v>203</v>
      </c>
      <c r="AA15" s="34" t="s">
        <v>569</v>
      </c>
      <c r="AB15" s="34" t="s">
        <v>180</v>
      </c>
      <c r="AC15" s="33" t="s">
        <v>108</v>
      </c>
      <c r="AD15" s="33" t="s">
        <v>570</v>
      </c>
      <c r="AE15" s="33" t="s">
        <v>203</v>
      </c>
      <c r="AF15" s="33" t="s">
        <v>206</v>
      </c>
      <c r="AG15" s="33" t="s">
        <v>203</v>
      </c>
      <c r="AH15" s="33" t="s">
        <v>242</v>
      </c>
      <c r="AI15" s="33" t="s">
        <v>207</v>
      </c>
      <c r="AJ15" s="33" t="s">
        <v>194</v>
      </c>
      <c r="AK15" s="33" t="s">
        <v>194</v>
      </c>
      <c r="AL15" s="33"/>
      <c r="AM15" s="33"/>
      <c r="AN15" s="33"/>
      <c r="AO15" s="33"/>
      <c r="AP15" s="35" t="s">
        <v>208</v>
      </c>
      <c r="AQ15" s="33"/>
      <c r="AR15" s="34" t="s">
        <v>214</v>
      </c>
      <c r="AS15" s="34" t="s">
        <v>194</v>
      </c>
      <c r="AT15" s="34" t="s">
        <v>221</v>
      </c>
      <c r="AU15" s="41" t="s">
        <v>75</v>
      </c>
      <c r="AV15" s="33" t="s">
        <v>81</v>
      </c>
      <c r="AW15" s="36" t="s">
        <v>95</v>
      </c>
      <c r="AX15" s="42" t="s">
        <v>86</v>
      </c>
      <c r="AY15" s="34" t="s">
        <v>571</v>
      </c>
    </row>
    <row r="16" customFormat="false" ht="30" hidden="false" customHeight="true" outlineLevel="0" collapsed="false">
      <c r="A16" s="39" t="n">
        <v>14</v>
      </c>
      <c r="B16" s="40" t="s">
        <v>472</v>
      </c>
      <c r="C16" s="40" t="s">
        <v>538</v>
      </c>
      <c r="D16" s="40" t="s">
        <v>538</v>
      </c>
      <c r="E16" s="40" t="s">
        <v>474</v>
      </c>
      <c r="F16" s="39" t="s">
        <v>475</v>
      </c>
      <c r="G16" s="40" t="s">
        <v>194</v>
      </c>
      <c r="H16" s="40" t="s">
        <v>213</v>
      </c>
      <c r="I16" s="40" t="s">
        <v>194</v>
      </c>
      <c r="J16" s="39" t="s">
        <v>194</v>
      </c>
      <c r="K16" s="40" t="s">
        <v>194</v>
      </c>
      <c r="L16" s="40" t="s">
        <v>194</v>
      </c>
      <c r="M16" s="40" t="s">
        <v>194</v>
      </c>
      <c r="N16" s="39" t="s">
        <v>214</v>
      </c>
      <c r="O16" s="40" t="s">
        <v>572</v>
      </c>
      <c r="P16" s="39" t="s">
        <v>194</v>
      </c>
      <c r="Q16" s="40" t="s">
        <v>573</v>
      </c>
      <c r="R16" s="40" t="s">
        <v>574</v>
      </c>
      <c r="S16" s="40" t="s">
        <v>575</v>
      </c>
      <c r="T16" s="39" t="s">
        <v>279</v>
      </c>
      <c r="U16" s="39" t="s">
        <v>322</v>
      </c>
      <c r="V16" s="39"/>
      <c r="W16" s="39"/>
      <c r="X16" s="39"/>
      <c r="Y16" s="40" t="s">
        <v>576</v>
      </c>
      <c r="Z16" s="35" t="s">
        <v>203</v>
      </c>
      <c r="AA16" s="40" t="s">
        <v>577</v>
      </c>
      <c r="AB16" s="40" t="s">
        <v>300</v>
      </c>
      <c r="AC16" s="39" t="s">
        <v>110</v>
      </c>
      <c r="AD16" s="39" t="s">
        <v>570</v>
      </c>
      <c r="AE16" s="39" t="s">
        <v>203</v>
      </c>
      <c r="AF16" s="39" t="s">
        <v>206</v>
      </c>
      <c r="AG16" s="39" t="s">
        <v>203</v>
      </c>
      <c r="AH16" s="39" t="s">
        <v>242</v>
      </c>
      <c r="AI16" s="39" t="s">
        <v>207</v>
      </c>
      <c r="AJ16" s="39" t="s">
        <v>194</v>
      </c>
      <c r="AK16" s="39" t="s">
        <v>194</v>
      </c>
      <c r="AL16" s="39"/>
      <c r="AM16" s="39"/>
      <c r="AN16" s="39"/>
      <c r="AO16" s="35" t="s">
        <v>208</v>
      </c>
      <c r="AP16" s="39"/>
      <c r="AQ16" s="39"/>
      <c r="AR16" s="40" t="s">
        <v>214</v>
      </c>
      <c r="AS16" s="40" t="s">
        <v>194</v>
      </c>
      <c r="AT16" s="40" t="s">
        <v>221</v>
      </c>
      <c r="AU16" s="41" t="s">
        <v>75</v>
      </c>
      <c r="AV16" s="33" t="s">
        <v>81</v>
      </c>
      <c r="AW16" s="36" t="s">
        <v>95</v>
      </c>
      <c r="AX16" s="42" t="s">
        <v>86</v>
      </c>
      <c r="AY16" s="40" t="s">
        <v>578</v>
      </c>
    </row>
    <row r="17" customFormat="false" ht="30" hidden="false" customHeight="true" outlineLevel="0" collapsed="false">
      <c r="A17" s="33" t="n">
        <v>15</v>
      </c>
      <c r="B17" s="34" t="s">
        <v>472</v>
      </c>
      <c r="C17" s="34" t="s">
        <v>579</v>
      </c>
      <c r="D17" s="34" t="s">
        <v>579</v>
      </c>
      <c r="E17" s="34" t="s">
        <v>474</v>
      </c>
      <c r="F17" s="33" t="s">
        <v>475</v>
      </c>
      <c r="G17" s="34" t="s">
        <v>194</v>
      </c>
      <c r="H17" s="34" t="s">
        <v>195</v>
      </c>
      <c r="I17" s="34" t="s">
        <v>194</v>
      </c>
      <c r="J17" s="33" t="s">
        <v>194</v>
      </c>
      <c r="K17" s="34" t="s">
        <v>194</v>
      </c>
      <c r="L17" s="34" t="s">
        <v>137</v>
      </c>
      <c r="M17" s="34" t="s">
        <v>194</v>
      </c>
      <c r="N17" s="33" t="s">
        <v>196</v>
      </c>
      <c r="O17" s="34" t="s">
        <v>580</v>
      </c>
      <c r="P17" s="33" t="s">
        <v>194</v>
      </c>
      <c r="Q17" s="34" t="s">
        <v>581</v>
      </c>
      <c r="R17" s="34" t="s">
        <v>582</v>
      </c>
      <c r="S17" s="34" t="s">
        <v>583</v>
      </c>
      <c r="T17" s="33" t="s">
        <v>201</v>
      </c>
      <c r="U17" s="33" t="s">
        <v>194</v>
      </c>
      <c r="V17" s="33"/>
      <c r="W17" s="33"/>
      <c r="X17" s="33"/>
      <c r="Y17" s="34"/>
      <c r="Z17" s="35" t="s">
        <v>203</v>
      </c>
      <c r="AA17" s="34" t="s">
        <v>584</v>
      </c>
      <c r="AB17" s="34" t="s">
        <v>300</v>
      </c>
      <c r="AC17" s="33" t="s">
        <v>108</v>
      </c>
      <c r="AD17" s="33" t="s">
        <v>205</v>
      </c>
      <c r="AE17" s="33" t="s">
        <v>203</v>
      </c>
      <c r="AF17" s="33" t="s">
        <v>206</v>
      </c>
      <c r="AG17" s="33" t="s">
        <v>203</v>
      </c>
      <c r="AH17" s="33" t="s">
        <v>203</v>
      </c>
      <c r="AI17" s="33" t="s">
        <v>207</v>
      </c>
      <c r="AJ17" s="33" t="s">
        <v>194</v>
      </c>
      <c r="AK17" s="33" t="s">
        <v>194</v>
      </c>
      <c r="AL17" s="33"/>
      <c r="AM17" s="33"/>
      <c r="AN17" s="33"/>
      <c r="AO17" s="35" t="s">
        <v>208</v>
      </c>
      <c r="AP17" s="33"/>
      <c r="AQ17" s="33"/>
      <c r="AR17" s="34" t="s">
        <v>196</v>
      </c>
      <c r="AS17" s="34" t="s">
        <v>209</v>
      </c>
      <c r="AT17" s="34" t="s">
        <v>210</v>
      </c>
      <c r="AU17" s="36" t="s">
        <v>73</v>
      </c>
      <c r="AV17" s="33" t="s">
        <v>81</v>
      </c>
      <c r="AW17" s="36" t="s">
        <v>95</v>
      </c>
      <c r="AX17" s="42" t="s">
        <v>86</v>
      </c>
      <c r="AY17" s="34" t="s">
        <v>585</v>
      </c>
    </row>
  </sheetData>
  <mergeCells count="1">
    <mergeCell ref="A1:A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8" min="18" style="0" width="34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1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22"/>
    <col collapsed="false" customWidth="true" hidden="false" outlineLevel="0" max="26" min="26" style="0" width="9"/>
    <col collapsed="false" customWidth="true" hidden="false" outlineLevel="0" max="27" min="27" style="0" width="30"/>
    <col collapsed="false" customWidth="true" hidden="false" outlineLevel="0" max="28" min="28" style="0" width="20"/>
    <col collapsed="false" customWidth="true" hidden="false" outlineLevel="0" max="29" min="29" style="0" width="13"/>
    <col collapsed="false" customWidth="true" hidden="false" outlineLevel="0" max="30" min="30" style="0" width="14"/>
    <col collapsed="false" customWidth="true" hidden="false" outlineLevel="0" max="31" min="31" style="0" width="9"/>
    <col collapsed="false" customWidth="true" hidden="false" outlineLevel="0" max="32" min="32" style="0" width="18"/>
    <col collapsed="false" customWidth="true" hidden="false" outlineLevel="0" max="33" min="33" style="0" width="9"/>
    <col collapsed="false" customWidth="true" hidden="false" outlineLevel="0" max="35" min="34" style="0" width="8"/>
    <col collapsed="false" customWidth="true" hidden="false" outlineLevel="0" max="37" min="36" style="0" width="11"/>
    <col collapsed="false" customWidth="true" hidden="false" outlineLevel="0" max="38" min="38" style="0" width="8"/>
    <col collapsed="false" customWidth="true" hidden="false" outlineLevel="0" max="39" min="39" style="0" width="6"/>
    <col collapsed="false" customWidth="true" hidden="false" outlineLevel="0" max="40" min="40" style="0" width="9"/>
    <col collapsed="false" customWidth="true" hidden="false" outlineLevel="0" max="41" min="41" style="0" width="8"/>
    <col collapsed="false" customWidth="true" hidden="false" outlineLevel="0" max="42" min="42" style="0" width="10"/>
    <col collapsed="false" customWidth="true" hidden="false" outlineLevel="0" max="43" min="43" style="0" width="7"/>
    <col collapsed="false" customWidth="true" hidden="false" outlineLevel="0" max="45" min="44" style="0" width="18"/>
    <col collapsed="false" customWidth="true" hidden="false" outlineLevel="0" max="47" min="46" style="0" width="22"/>
    <col collapsed="false" customWidth="true" hidden="false" outlineLevel="0" max="48" min="48" style="0" width="13"/>
    <col collapsed="false" customWidth="true" hidden="false" outlineLevel="0" max="49" min="49" style="0" width="11"/>
    <col collapsed="false" customWidth="true" hidden="false" outlineLevel="0" max="50" min="50" style="0" width="9"/>
    <col collapsed="false" customWidth="true" hidden="false" outlineLevel="0" max="51" min="51" style="0" width="40"/>
  </cols>
  <sheetData>
    <row r="1" customFormat="false" ht="21.75" hidden="false" customHeight="true" outlineLevel="0" collapsed="false">
      <c r="A1" s="31" t="s">
        <v>586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</row>
    <row r="2" customFormat="false" ht="19.4" hidden="false" customHeight="false" outlineLevel="0" collapsed="false">
      <c r="A2" s="32" t="s">
        <v>140</v>
      </c>
      <c r="B2" s="32" t="s">
        <v>141</v>
      </c>
      <c r="C2" s="32" t="s">
        <v>142</v>
      </c>
      <c r="D2" s="32" t="s">
        <v>143</v>
      </c>
      <c r="E2" s="32" t="s">
        <v>144</v>
      </c>
      <c r="F2" s="32" t="s">
        <v>145</v>
      </c>
      <c r="G2" s="32" t="s">
        <v>146</v>
      </c>
      <c r="H2" s="32" t="s">
        <v>147</v>
      </c>
      <c r="I2" s="32" t="s">
        <v>148</v>
      </c>
      <c r="J2" s="32" t="s">
        <v>149</v>
      </c>
      <c r="K2" s="32" t="s">
        <v>150</v>
      </c>
      <c r="L2" s="32" t="s">
        <v>151</v>
      </c>
      <c r="M2" s="32" t="s">
        <v>152</v>
      </c>
      <c r="N2" s="32" t="s">
        <v>153</v>
      </c>
      <c r="O2" s="32" t="s">
        <v>154</v>
      </c>
      <c r="P2" s="32" t="s">
        <v>155</v>
      </c>
      <c r="Q2" s="32" t="s">
        <v>156</v>
      </c>
      <c r="R2" s="32" t="s">
        <v>157</v>
      </c>
      <c r="S2" s="32" t="s">
        <v>117</v>
      </c>
      <c r="T2" s="32" t="s">
        <v>158</v>
      </c>
      <c r="U2" s="32" t="s">
        <v>159</v>
      </c>
      <c r="V2" s="32" t="s">
        <v>160</v>
      </c>
      <c r="W2" s="32" t="s">
        <v>161</v>
      </c>
      <c r="X2" s="32" t="s">
        <v>162</v>
      </c>
      <c r="Y2" s="32" t="s">
        <v>163</v>
      </c>
      <c r="Z2" s="32" t="s">
        <v>164</v>
      </c>
      <c r="AA2" s="32" t="s">
        <v>165</v>
      </c>
      <c r="AB2" s="32" t="s">
        <v>166</v>
      </c>
      <c r="AC2" s="32" t="s">
        <v>167</v>
      </c>
      <c r="AD2" s="32" t="s">
        <v>168</v>
      </c>
      <c r="AE2" s="32" t="s">
        <v>169</v>
      </c>
      <c r="AF2" s="32" t="s">
        <v>170</v>
      </c>
      <c r="AG2" s="32" t="s">
        <v>171</v>
      </c>
      <c r="AH2" s="32" t="s">
        <v>172</v>
      </c>
      <c r="AI2" s="32" t="s">
        <v>173</v>
      </c>
      <c r="AJ2" s="32" t="s">
        <v>174</v>
      </c>
      <c r="AK2" s="32" t="s">
        <v>175</v>
      </c>
      <c r="AL2" s="32" t="s">
        <v>176</v>
      </c>
      <c r="AM2" s="32" t="s">
        <v>177</v>
      </c>
      <c r="AN2" s="32" t="s">
        <v>178</v>
      </c>
      <c r="AO2" s="32" t="s">
        <v>179</v>
      </c>
      <c r="AP2" s="32" t="s">
        <v>180</v>
      </c>
      <c r="AQ2" s="32" t="s">
        <v>181</v>
      </c>
      <c r="AR2" s="32" t="s">
        <v>182</v>
      </c>
      <c r="AS2" s="32" t="s">
        <v>183</v>
      </c>
      <c r="AT2" s="32" t="s">
        <v>184</v>
      </c>
      <c r="AU2" s="32" t="s">
        <v>185</v>
      </c>
      <c r="AV2" s="32" t="s">
        <v>186</v>
      </c>
      <c r="AW2" s="32" t="s">
        <v>187</v>
      </c>
      <c r="AX2" s="32" t="s">
        <v>188</v>
      </c>
      <c r="AY2" s="32" t="s">
        <v>189</v>
      </c>
    </row>
    <row r="3" customFormat="false" ht="30" hidden="false" customHeight="true" outlineLevel="0" collapsed="false">
      <c r="A3" s="33" t="n">
        <v>1</v>
      </c>
      <c r="B3" s="34" t="s">
        <v>587</v>
      </c>
      <c r="C3" s="34" t="s">
        <v>588</v>
      </c>
      <c r="D3" s="34" t="s">
        <v>588</v>
      </c>
      <c r="E3" s="34" t="s">
        <v>589</v>
      </c>
      <c r="F3" s="33" t="s">
        <v>590</v>
      </c>
      <c r="G3" s="34" t="s">
        <v>591</v>
      </c>
      <c r="H3" s="34" t="s">
        <v>592</v>
      </c>
      <c r="I3" s="34" t="s">
        <v>593</v>
      </c>
      <c r="J3" s="33" t="s">
        <v>81</v>
      </c>
      <c r="K3" s="34" t="s">
        <v>594</v>
      </c>
      <c r="L3" s="34" t="s">
        <v>595</v>
      </c>
      <c r="M3" s="34" t="s">
        <v>596</v>
      </c>
      <c r="N3" s="33" t="s">
        <v>597</v>
      </c>
      <c r="O3" s="34" t="s">
        <v>598</v>
      </c>
      <c r="P3" s="33" t="s">
        <v>599</v>
      </c>
      <c r="Q3" s="34" t="s">
        <v>600</v>
      </c>
      <c r="R3" s="34" t="s">
        <v>601</v>
      </c>
      <c r="S3" s="34" t="s">
        <v>602</v>
      </c>
      <c r="T3" s="33" t="s">
        <v>339</v>
      </c>
      <c r="U3" s="33" t="s">
        <v>603</v>
      </c>
      <c r="V3" s="33" t="s">
        <v>604</v>
      </c>
      <c r="W3" s="33" t="s">
        <v>282</v>
      </c>
      <c r="X3" s="33" t="s">
        <v>605</v>
      </c>
      <c r="Y3" s="34" t="s">
        <v>606</v>
      </c>
      <c r="Z3" s="35" t="s">
        <v>203</v>
      </c>
      <c r="AA3" s="34" t="s">
        <v>607</v>
      </c>
      <c r="AB3" s="34" t="s">
        <v>608</v>
      </c>
      <c r="AC3" s="33" t="s">
        <v>106</v>
      </c>
      <c r="AD3" s="33" t="s">
        <v>286</v>
      </c>
      <c r="AE3" s="33" t="s">
        <v>203</v>
      </c>
      <c r="AF3" s="33" t="s">
        <v>206</v>
      </c>
      <c r="AG3" s="33" t="s">
        <v>203</v>
      </c>
      <c r="AH3" s="33" t="s">
        <v>203</v>
      </c>
      <c r="AI3" s="33" t="s">
        <v>207</v>
      </c>
      <c r="AJ3" s="33" t="s">
        <v>194</v>
      </c>
      <c r="AK3" s="33" t="s">
        <v>194</v>
      </c>
      <c r="AL3" s="33"/>
      <c r="AM3" s="35" t="s">
        <v>208</v>
      </c>
      <c r="AN3" s="35" t="s">
        <v>208</v>
      </c>
      <c r="AO3" s="35" t="s">
        <v>208</v>
      </c>
      <c r="AP3" s="33"/>
      <c r="AQ3" s="35" t="s">
        <v>208</v>
      </c>
      <c r="AR3" s="34" t="s">
        <v>597</v>
      </c>
      <c r="AS3" s="34" t="s">
        <v>609</v>
      </c>
      <c r="AT3" s="34" t="s">
        <v>610</v>
      </c>
      <c r="AU3" s="35" t="s">
        <v>59</v>
      </c>
      <c r="AV3" s="35" t="s">
        <v>99</v>
      </c>
      <c r="AW3" s="37" t="s">
        <v>93</v>
      </c>
      <c r="AX3" s="38" t="s">
        <v>84</v>
      </c>
      <c r="AY3" s="34" t="s">
        <v>611</v>
      </c>
    </row>
    <row r="4" customFormat="false" ht="30" hidden="false" customHeight="true" outlineLevel="0" collapsed="false">
      <c r="A4" s="39" t="n">
        <v>2</v>
      </c>
      <c r="B4" s="40" t="s">
        <v>587</v>
      </c>
      <c r="C4" s="40" t="s">
        <v>588</v>
      </c>
      <c r="D4" s="40" t="s">
        <v>588</v>
      </c>
      <c r="E4" s="40" t="s">
        <v>589</v>
      </c>
      <c r="F4" s="39" t="s">
        <v>590</v>
      </c>
      <c r="G4" s="40" t="s">
        <v>591</v>
      </c>
      <c r="H4" s="40" t="s">
        <v>592</v>
      </c>
      <c r="I4" s="40" t="s">
        <v>593</v>
      </c>
      <c r="J4" s="39" t="s">
        <v>81</v>
      </c>
      <c r="K4" s="40" t="s">
        <v>594</v>
      </c>
      <c r="L4" s="40" t="s">
        <v>595</v>
      </c>
      <c r="M4" s="40" t="s">
        <v>596</v>
      </c>
      <c r="N4" s="39" t="s">
        <v>597</v>
      </c>
      <c r="O4" s="40" t="s">
        <v>612</v>
      </c>
      <c r="P4" s="39" t="s">
        <v>275</v>
      </c>
      <c r="Q4" s="40" t="s">
        <v>613</v>
      </c>
      <c r="R4" s="40" t="s">
        <v>614</v>
      </c>
      <c r="S4" s="40" t="s">
        <v>511</v>
      </c>
      <c r="T4" s="39" t="s">
        <v>279</v>
      </c>
      <c r="U4" s="39" t="s">
        <v>603</v>
      </c>
      <c r="V4" s="39" t="s">
        <v>615</v>
      </c>
      <c r="W4" s="39"/>
      <c r="X4" s="39"/>
      <c r="Y4" s="40"/>
      <c r="Z4" s="35" t="s">
        <v>203</v>
      </c>
      <c r="AA4" s="40" t="s">
        <v>616</v>
      </c>
      <c r="AB4" s="40" t="s">
        <v>300</v>
      </c>
      <c r="AC4" s="39" t="s">
        <v>106</v>
      </c>
      <c r="AD4" s="39" t="s">
        <v>286</v>
      </c>
      <c r="AE4" s="39" t="s">
        <v>203</v>
      </c>
      <c r="AF4" s="39" t="s">
        <v>206</v>
      </c>
      <c r="AG4" s="39" t="s">
        <v>203</v>
      </c>
      <c r="AH4" s="39" t="s">
        <v>203</v>
      </c>
      <c r="AI4" s="39" t="s">
        <v>207</v>
      </c>
      <c r="AJ4" s="39" t="s">
        <v>194</v>
      </c>
      <c r="AK4" s="39" t="s">
        <v>194</v>
      </c>
      <c r="AL4" s="39"/>
      <c r="AM4" s="39"/>
      <c r="AN4" s="39"/>
      <c r="AO4" s="35" t="s">
        <v>208</v>
      </c>
      <c r="AP4" s="39"/>
      <c r="AQ4" s="39"/>
      <c r="AR4" s="40" t="s">
        <v>597</v>
      </c>
      <c r="AS4" s="40" t="s">
        <v>609</v>
      </c>
      <c r="AT4" s="40" t="s">
        <v>610</v>
      </c>
      <c r="AU4" s="35" t="s">
        <v>59</v>
      </c>
      <c r="AV4" s="35" t="s">
        <v>99</v>
      </c>
      <c r="AW4" s="36" t="s">
        <v>95</v>
      </c>
      <c r="AX4" s="42" t="s">
        <v>86</v>
      </c>
      <c r="AY4" s="40" t="s">
        <v>617</v>
      </c>
    </row>
    <row r="5" customFormat="false" ht="30" hidden="false" customHeight="true" outlineLevel="0" collapsed="false">
      <c r="A5" s="33" t="n">
        <v>3</v>
      </c>
      <c r="B5" s="34" t="s">
        <v>587</v>
      </c>
      <c r="C5" s="34" t="s">
        <v>588</v>
      </c>
      <c r="D5" s="34" t="s">
        <v>588</v>
      </c>
      <c r="E5" s="34" t="s">
        <v>589</v>
      </c>
      <c r="F5" s="33" t="s">
        <v>590</v>
      </c>
      <c r="G5" s="34" t="s">
        <v>591</v>
      </c>
      <c r="H5" s="34" t="s">
        <v>592</v>
      </c>
      <c r="I5" s="34" t="s">
        <v>593</v>
      </c>
      <c r="J5" s="33" t="s">
        <v>81</v>
      </c>
      <c r="K5" s="34" t="s">
        <v>594</v>
      </c>
      <c r="L5" s="34" t="s">
        <v>595</v>
      </c>
      <c r="M5" s="34" t="s">
        <v>596</v>
      </c>
      <c r="N5" s="33" t="s">
        <v>597</v>
      </c>
      <c r="O5" s="34" t="s">
        <v>618</v>
      </c>
      <c r="P5" s="33" t="s">
        <v>275</v>
      </c>
      <c r="Q5" s="34" t="s">
        <v>619</v>
      </c>
      <c r="R5" s="34" t="s">
        <v>620</v>
      </c>
      <c r="S5" s="34" t="s">
        <v>511</v>
      </c>
      <c r="T5" s="33" t="s">
        <v>279</v>
      </c>
      <c r="U5" s="33" t="s">
        <v>603</v>
      </c>
      <c r="V5" s="33" t="s">
        <v>621</v>
      </c>
      <c r="W5" s="33"/>
      <c r="X5" s="33"/>
      <c r="Y5" s="34"/>
      <c r="Z5" s="35" t="s">
        <v>203</v>
      </c>
      <c r="AA5" s="34" t="s">
        <v>622</v>
      </c>
      <c r="AB5" s="34" t="s">
        <v>300</v>
      </c>
      <c r="AC5" s="33" t="s">
        <v>106</v>
      </c>
      <c r="AD5" s="33" t="s">
        <v>286</v>
      </c>
      <c r="AE5" s="33" t="s">
        <v>203</v>
      </c>
      <c r="AF5" s="33" t="s">
        <v>206</v>
      </c>
      <c r="AG5" s="33" t="s">
        <v>203</v>
      </c>
      <c r="AH5" s="33" t="s">
        <v>203</v>
      </c>
      <c r="AI5" s="33" t="s">
        <v>207</v>
      </c>
      <c r="AJ5" s="33" t="s">
        <v>194</v>
      </c>
      <c r="AK5" s="33" t="s">
        <v>194</v>
      </c>
      <c r="AL5" s="33"/>
      <c r="AM5" s="33"/>
      <c r="AN5" s="33"/>
      <c r="AO5" s="35" t="s">
        <v>208</v>
      </c>
      <c r="AP5" s="33"/>
      <c r="AQ5" s="33"/>
      <c r="AR5" s="34" t="s">
        <v>597</v>
      </c>
      <c r="AS5" s="34" t="s">
        <v>609</v>
      </c>
      <c r="AT5" s="34" t="s">
        <v>610</v>
      </c>
      <c r="AU5" s="35" t="s">
        <v>59</v>
      </c>
      <c r="AV5" s="35" t="s">
        <v>99</v>
      </c>
      <c r="AW5" s="43" t="s">
        <v>97</v>
      </c>
      <c r="AX5" s="44" t="s">
        <v>88</v>
      </c>
      <c r="AY5" s="34"/>
    </row>
    <row r="6" customFormat="false" ht="30" hidden="false" customHeight="true" outlineLevel="0" collapsed="false">
      <c r="A6" s="39" t="n">
        <v>4</v>
      </c>
      <c r="B6" s="40" t="s">
        <v>587</v>
      </c>
      <c r="C6" s="40" t="s">
        <v>588</v>
      </c>
      <c r="D6" s="40" t="s">
        <v>588</v>
      </c>
      <c r="E6" s="40" t="s">
        <v>589</v>
      </c>
      <c r="F6" s="39" t="s">
        <v>590</v>
      </c>
      <c r="G6" s="40" t="s">
        <v>591</v>
      </c>
      <c r="H6" s="40" t="s">
        <v>592</v>
      </c>
      <c r="I6" s="40" t="s">
        <v>593</v>
      </c>
      <c r="J6" s="39" t="s">
        <v>81</v>
      </c>
      <c r="K6" s="40" t="s">
        <v>594</v>
      </c>
      <c r="L6" s="40" t="s">
        <v>595</v>
      </c>
      <c r="M6" s="40" t="s">
        <v>596</v>
      </c>
      <c r="N6" s="39" t="s">
        <v>597</v>
      </c>
      <c r="O6" s="40" t="s">
        <v>623</v>
      </c>
      <c r="P6" s="39" t="s">
        <v>275</v>
      </c>
      <c r="Q6" s="40" t="s">
        <v>624</v>
      </c>
      <c r="R6" s="40" t="s">
        <v>625</v>
      </c>
      <c r="S6" s="40" t="s">
        <v>330</v>
      </c>
      <c r="T6" s="39" t="s">
        <v>331</v>
      </c>
      <c r="U6" s="39" t="s">
        <v>626</v>
      </c>
      <c r="V6" s="39"/>
      <c r="W6" s="39"/>
      <c r="X6" s="39"/>
      <c r="Y6" s="40" t="s">
        <v>627</v>
      </c>
      <c r="Z6" s="35" t="s">
        <v>203</v>
      </c>
      <c r="AA6" s="40" t="s">
        <v>628</v>
      </c>
      <c r="AB6" s="40" t="s">
        <v>324</v>
      </c>
      <c r="AC6" s="39" t="s">
        <v>108</v>
      </c>
      <c r="AD6" s="39" t="s">
        <v>335</v>
      </c>
      <c r="AE6" s="39" t="s">
        <v>203</v>
      </c>
      <c r="AF6" s="39" t="s">
        <v>206</v>
      </c>
      <c r="AG6" s="39" t="s">
        <v>203</v>
      </c>
      <c r="AH6" s="39" t="s">
        <v>203</v>
      </c>
      <c r="AI6" s="39" t="s">
        <v>207</v>
      </c>
      <c r="AJ6" s="39" t="s">
        <v>194</v>
      </c>
      <c r="AK6" s="39" t="s">
        <v>194</v>
      </c>
      <c r="AL6" s="39"/>
      <c r="AM6" s="39"/>
      <c r="AN6" s="39"/>
      <c r="AO6" s="35" t="s">
        <v>208</v>
      </c>
      <c r="AP6" s="39"/>
      <c r="AQ6" s="39"/>
      <c r="AR6" s="40" t="s">
        <v>597</v>
      </c>
      <c r="AS6" s="40" t="s">
        <v>609</v>
      </c>
      <c r="AT6" s="40" t="s">
        <v>610</v>
      </c>
      <c r="AU6" s="35" t="s">
        <v>59</v>
      </c>
      <c r="AV6" s="35" t="s">
        <v>99</v>
      </c>
      <c r="AW6" s="36" t="s">
        <v>95</v>
      </c>
      <c r="AX6" s="42" t="s">
        <v>86</v>
      </c>
      <c r="AY6" s="40"/>
    </row>
    <row r="7" customFormat="false" ht="30" hidden="false" customHeight="true" outlineLevel="0" collapsed="false">
      <c r="A7" s="33" t="n">
        <v>5</v>
      </c>
      <c r="B7" s="34" t="s">
        <v>587</v>
      </c>
      <c r="C7" s="34" t="s">
        <v>588</v>
      </c>
      <c r="D7" s="34" t="s">
        <v>588</v>
      </c>
      <c r="E7" s="34" t="s">
        <v>589</v>
      </c>
      <c r="F7" s="33" t="s">
        <v>590</v>
      </c>
      <c r="G7" s="34" t="s">
        <v>591</v>
      </c>
      <c r="H7" s="34" t="s">
        <v>592</v>
      </c>
      <c r="I7" s="34" t="s">
        <v>593</v>
      </c>
      <c r="J7" s="33" t="s">
        <v>81</v>
      </c>
      <c r="K7" s="34" t="s">
        <v>594</v>
      </c>
      <c r="L7" s="34" t="s">
        <v>595</v>
      </c>
      <c r="M7" s="34" t="s">
        <v>596</v>
      </c>
      <c r="N7" s="33" t="s">
        <v>597</v>
      </c>
      <c r="O7" s="34" t="s">
        <v>629</v>
      </c>
      <c r="P7" s="33" t="s">
        <v>275</v>
      </c>
      <c r="Q7" s="34" t="s">
        <v>630</v>
      </c>
      <c r="R7" s="34" t="s">
        <v>631</v>
      </c>
      <c r="S7" s="34" t="s">
        <v>295</v>
      </c>
      <c r="T7" s="33" t="s">
        <v>339</v>
      </c>
      <c r="U7" s="33" t="s">
        <v>632</v>
      </c>
      <c r="V7" s="33" t="s">
        <v>633</v>
      </c>
      <c r="W7" s="33" t="s">
        <v>282</v>
      </c>
      <c r="X7" s="33" t="s">
        <v>634</v>
      </c>
      <c r="Y7" s="34"/>
      <c r="Z7" s="35" t="s">
        <v>203</v>
      </c>
      <c r="AA7" s="34" t="s">
        <v>635</v>
      </c>
      <c r="AB7" s="34" t="s">
        <v>300</v>
      </c>
      <c r="AC7" s="33" t="s">
        <v>106</v>
      </c>
      <c r="AD7" s="33" t="s">
        <v>286</v>
      </c>
      <c r="AE7" s="33" t="s">
        <v>203</v>
      </c>
      <c r="AF7" s="33" t="s">
        <v>206</v>
      </c>
      <c r="AG7" s="33" t="s">
        <v>203</v>
      </c>
      <c r="AH7" s="33" t="s">
        <v>203</v>
      </c>
      <c r="AI7" s="33" t="s">
        <v>207</v>
      </c>
      <c r="AJ7" s="33" t="s">
        <v>194</v>
      </c>
      <c r="AK7" s="33" t="s">
        <v>194</v>
      </c>
      <c r="AL7" s="33"/>
      <c r="AM7" s="33"/>
      <c r="AN7" s="33"/>
      <c r="AO7" s="35" t="s">
        <v>208</v>
      </c>
      <c r="AP7" s="33"/>
      <c r="AQ7" s="33"/>
      <c r="AR7" s="34" t="s">
        <v>597</v>
      </c>
      <c r="AS7" s="34" t="s">
        <v>609</v>
      </c>
      <c r="AT7" s="34" t="s">
        <v>610</v>
      </c>
      <c r="AU7" s="35" t="s">
        <v>59</v>
      </c>
      <c r="AV7" s="35" t="s">
        <v>99</v>
      </c>
      <c r="AW7" s="43" t="s">
        <v>97</v>
      </c>
      <c r="AX7" s="44" t="s">
        <v>88</v>
      </c>
      <c r="AY7" s="34"/>
    </row>
    <row r="8" customFormat="false" ht="30" hidden="false" customHeight="true" outlineLevel="0" collapsed="false">
      <c r="A8" s="39" t="n">
        <v>6</v>
      </c>
      <c r="B8" s="40" t="s">
        <v>587</v>
      </c>
      <c r="C8" s="40" t="s">
        <v>588</v>
      </c>
      <c r="D8" s="40" t="s">
        <v>588</v>
      </c>
      <c r="E8" s="40" t="s">
        <v>589</v>
      </c>
      <c r="F8" s="39" t="s">
        <v>590</v>
      </c>
      <c r="G8" s="40" t="s">
        <v>591</v>
      </c>
      <c r="H8" s="40" t="s">
        <v>592</v>
      </c>
      <c r="I8" s="40" t="s">
        <v>593</v>
      </c>
      <c r="J8" s="39" t="s">
        <v>81</v>
      </c>
      <c r="K8" s="40" t="s">
        <v>594</v>
      </c>
      <c r="L8" s="40" t="s">
        <v>595</v>
      </c>
      <c r="M8" s="40" t="s">
        <v>596</v>
      </c>
      <c r="N8" s="39" t="s">
        <v>597</v>
      </c>
      <c r="O8" s="40" t="s">
        <v>636</v>
      </c>
      <c r="P8" s="39" t="s">
        <v>275</v>
      </c>
      <c r="Q8" s="40" t="s">
        <v>637</v>
      </c>
      <c r="R8" s="40" t="s">
        <v>638</v>
      </c>
      <c r="S8" s="40" t="s">
        <v>295</v>
      </c>
      <c r="T8" s="39" t="s">
        <v>339</v>
      </c>
      <c r="U8" s="39" t="s">
        <v>547</v>
      </c>
      <c r="V8" s="39" t="s">
        <v>639</v>
      </c>
      <c r="W8" s="39" t="s">
        <v>282</v>
      </c>
      <c r="X8" s="39" t="s">
        <v>449</v>
      </c>
      <c r="Y8" s="40"/>
      <c r="Z8" s="35" t="s">
        <v>203</v>
      </c>
      <c r="AA8" s="40" t="s">
        <v>640</v>
      </c>
      <c r="AB8" s="40" t="s">
        <v>300</v>
      </c>
      <c r="AC8" s="39" t="s">
        <v>106</v>
      </c>
      <c r="AD8" s="39" t="s">
        <v>286</v>
      </c>
      <c r="AE8" s="39" t="s">
        <v>203</v>
      </c>
      <c r="AF8" s="39" t="s">
        <v>206</v>
      </c>
      <c r="AG8" s="39" t="s">
        <v>203</v>
      </c>
      <c r="AH8" s="39" t="s">
        <v>203</v>
      </c>
      <c r="AI8" s="39" t="s">
        <v>207</v>
      </c>
      <c r="AJ8" s="39" t="s">
        <v>194</v>
      </c>
      <c r="AK8" s="39" t="s">
        <v>194</v>
      </c>
      <c r="AL8" s="39"/>
      <c r="AM8" s="39"/>
      <c r="AN8" s="39"/>
      <c r="AO8" s="35" t="s">
        <v>208</v>
      </c>
      <c r="AP8" s="39"/>
      <c r="AQ8" s="39"/>
      <c r="AR8" s="40" t="s">
        <v>597</v>
      </c>
      <c r="AS8" s="40" t="s">
        <v>609</v>
      </c>
      <c r="AT8" s="40" t="s">
        <v>610</v>
      </c>
      <c r="AU8" s="35" t="s">
        <v>59</v>
      </c>
      <c r="AV8" s="35" t="s">
        <v>99</v>
      </c>
      <c r="AW8" s="43" t="s">
        <v>97</v>
      </c>
      <c r="AX8" s="44" t="s">
        <v>88</v>
      </c>
      <c r="AY8" s="40" t="s">
        <v>641</v>
      </c>
    </row>
    <row r="9" customFormat="false" ht="30" hidden="false" customHeight="true" outlineLevel="0" collapsed="false">
      <c r="A9" s="33" t="n">
        <v>7</v>
      </c>
      <c r="B9" s="34" t="s">
        <v>587</v>
      </c>
      <c r="C9" s="34" t="s">
        <v>588</v>
      </c>
      <c r="D9" s="34" t="s">
        <v>588</v>
      </c>
      <c r="E9" s="34" t="s">
        <v>589</v>
      </c>
      <c r="F9" s="33" t="s">
        <v>590</v>
      </c>
      <c r="G9" s="34" t="s">
        <v>591</v>
      </c>
      <c r="H9" s="34" t="s">
        <v>592</v>
      </c>
      <c r="I9" s="34" t="s">
        <v>593</v>
      </c>
      <c r="J9" s="33" t="s">
        <v>81</v>
      </c>
      <c r="K9" s="34" t="s">
        <v>594</v>
      </c>
      <c r="L9" s="34" t="s">
        <v>595</v>
      </c>
      <c r="M9" s="34" t="s">
        <v>596</v>
      </c>
      <c r="N9" s="33" t="s">
        <v>597</v>
      </c>
      <c r="O9" s="34" t="s">
        <v>642</v>
      </c>
      <c r="P9" s="33" t="s">
        <v>275</v>
      </c>
      <c r="Q9" s="34" t="s">
        <v>643</v>
      </c>
      <c r="R9" s="34" t="s">
        <v>644</v>
      </c>
      <c r="S9" s="34" t="s">
        <v>295</v>
      </c>
      <c r="T9" s="33" t="s">
        <v>339</v>
      </c>
      <c r="U9" s="33" t="s">
        <v>547</v>
      </c>
      <c r="V9" s="33" t="s">
        <v>639</v>
      </c>
      <c r="W9" s="33" t="s">
        <v>282</v>
      </c>
      <c r="X9" s="33" t="s">
        <v>449</v>
      </c>
      <c r="Y9" s="34"/>
      <c r="Z9" s="35" t="s">
        <v>203</v>
      </c>
      <c r="AA9" s="34" t="s">
        <v>640</v>
      </c>
      <c r="AB9" s="34" t="s">
        <v>300</v>
      </c>
      <c r="AC9" s="33" t="s">
        <v>106</v>
      </c>
      <c r="AD9" s="33" t="s">
        <v>286</v>
      </c>
      <c r="AE9" s="33" t="s">
        <v>203</v>
      </c>
      <c r="AF9" s="33" t="s">
        <v>206</v>
      </c>
      <c r="AG9" s="33" t="s">
        <v>203</v>
      </c>
      <c r="AH9" s="33" t="s">
        <v>203</v>
      </c>
      <c r="AI9" s="33" t="s">
        <v>207</v>
      </c>
      <c r="AJ9" s="33" t="s">
        <v>194</v>
      </c>
      <c r="AK9" s="33" t="s">
        <v>194</v>
      </c>
      <c r="AL9" s="33"/>
      <c r="AM9" s="33"/>
      <c r="AN9" s="33"/>
      <c r="AO9" s="35" t="s">
        <v>208</v>
      </c>
      <c r="AP9" s="33"/>
      <c r="AQ9" s="33"/>
      <c r="AR9" s="34" t="s">
        <v>597</v>
      </c>
      <c r="AS9" s="34" t="s">
        <v>609</v>
      </c>
      <c r="AT9" s="34" t="s">
        <v>610</v>
      </c>
      <c r="AU9" s="35" t="s">
        <v>59</v>
      </c>
      <c r="AV9" s="35" t="s">
        <v>99</v>
      </c>
      <c r="AW9" s="43" t="s">
        <v>97</v>
      </c>
      <c r="AX9" s="44" t="s">
        <v>88</v>
      </c>
      <c r="AY9" s="34"/>
    </row>
    <row r="10" customFormat="false" ht="30" hidden="false" customHeight="true" outlineLevel="0" collapsed="false">
      <c r="A10" s="39" t="n">
        <v>8</v>
      </c>
      <c r="B10" s="40" t="s">
        <v>587</v>
      </c>
      <c r="C10" s="40" t="s">
        <v>473</v>
      </c>
      <c r="D10" s="40" t="s">
        <v>473</v>
      </c>
      <c r="E10" s="40" t="s">
        <v>589</v>
      </c>
      <c r="F10" s="39" t="s">
        <v>590</v>
      </c>
      <c r="G10" s="40" t="s">
        <v>591</v>
      </c>
      <c r="H10" s="40" t="s">
        <v>592</v>
      </c>
      <c r="I10" s="40" t="s">
        <v>593</v>
      </c>
      <c r="J10" s="39" t="s">
        <v>81</v>
      </c>
      <c r="K10" s="40" t="s">
        <v>594</v>
      </c>
      <c r="L10" s="40" t="s">
        <v>595</v>
      </c>
      <c r="M10" s="40" t="s">
        <v>596</v>
      </c>
      <c r="N10" s="39" t="s">
        <v>597</v>
      </c>
      <c r="O10" s="40" t="s">
        <v>645</v>
      </c>
      <c r="P10" s="39" t="s">
        <v>275</v>
      </c>
      <c r="Q10" s="40" t="s">
        <v>646</v>
      </c>
      <c r="R10" s="40" t="s">
        <v>647</v>
      </c>
      <c r="S10" s="40" t="s">
        <v>295</v>
      </c>
      <c r="T10" s="39" t="s">
        <v>339</v>
      </c>
      <c r="U10" s="39" t="s">
        <v>547</v>
      </c>
      <c r="V10" s="39" t="s">
        <v>648</v>
      </c>
      <c r="W10" s="39" t="s">
        <v>282</v>
      </c>
      <c r="X10" s="39" t="s">
        <v>449</v>
      </c>
      <c r="Y10" s="40"/>
      <c r="Z10" s="35" t="s">
        <v>203</v>
      </c>
      <c r="AA10" s="40" t="s">
        <v>649</v>
      </c>
      <c r="AB10" s="40" t="s">
        <v>650</v>
      </c>
      <c r="AC10" s="39" t="s">
        <v>106</v>
      </c>
      <c r="AD10" s="39" t="s">
        <v>286</v>
      </c>
      <c r="AE10" s="39" t="s">
        <v>203</v>
      </c>
      <c r="AF10" s="39" t="s">
        <v>206</v>
      </c>
      <c r="AG10" s="39" t="s">
        <v>203</v>
      </c>
      <c r="AH10" s="39" t="s">
        <v>203</v>
      </c>
      <c r="AI10" s="39" t="s">
        <v>207</v>
      </c>
      <c r="AJ10" s="39" t="s">
        <v>194</v>
      </c>
      <c r="AK10" s="39" t="s">
        <v>194</v>
      </c>
      <c r="AL10" s="39"/>
      <c r="AM10" s="35" t="s">
        <v>208</v>
      </c>
      <c r="AN10" s="35" t="s">
        <v>208</v>
      </c>
      <c r="AO10" s="39"/>
      <c r="AP10" s="39"/>
      <c r="AQ10" s="39"/>
      <c r="AR10" s="40" t="s">
        <v>597</v>
      </c>
      <c r="AS10" s="40" t="s">
        <v>609</v>
      </c>
      <c r="AT10" s="40" t="s">
        <v>610</v>
      </c>
      <c r="AU10" s="35" t="s">
        <v>59</v>
      </c>
      <c r="AV10" s="35" t="s">
        <v>99</v>
      </c>
      <c r="AW10" s="36" t="s">
        <v>95</v>
      </c>
      <c r="AX10" s="42" t="s">
        <v>86</v>
      </c>
      <c r="AY10" s="40"/>
    </row>
    <row r="11" customFormat="false" ht="30" hidden="false" customHeight="true" outlineLevel="0" collapsed="false">
      <c r="A11" s="33" t="n">
        <v>9</v>
      </c>
      <c r="B11" s="34" t="s">
        <v>587</v>
      </c>
      <c r="C11" s="34" t="s">
        <v>473</v>
      </c>
      <c r="D11" s="34" t="s">
        <v>473</v>
      </c>
      <c r="E11" s="34" t="s">
        <v>589</v>
      </c>
      <c r="F11" s="33" t="s">
        <v>590</v>
      </c>
      <c r="G11" s="34" t="s">
        <v>591</v>
      </c>
      <c r="H11" s="34" t="s">
        <v>592</v>
      </c>
      <c r="I11" s="34" t="s">
        <v>593</v>
      </c>
      <c r="J11" s="33" t="s">
        <v>81</v>
      </c>
      <c r="K11" s="34" t="s">
        <v>594</v>
      </c>
      <c r="L11" s="34" t="s">
        <v>595</v>
      </c>
      <c r="M11" s="34" t="s">
        <v>596</v>
      </c>
      <c r="N11" s="33" t="s">
        <v>597</v>
      </c>
      <c r="O11" s="34" t="s">
        <v>651</v>
      </c>
      <c r="P11" s="33" t="s">
        <v>275</v>
      </c>
      <c r="Q11" s="34" t="s">
        <v>652</v>
      </c>
      <c r="R11" s="34" t="s">
        <v>653</v>
      </c>
      <c r="S11" s="34" t="s">
        <v>278</v>
      </c>
      <c r="T11" s="33" t="s">
        <v>279</v>
      </c>
      <c r="U11" s="33" t="s">
        <v>280</v>
      </c>
      <c r="V11" s="33" t="s">
        <v>654</v>
      </c>
      <c r="W11" s="33" t="s">
        <v>282</v>
      </c>
      <c r="X11" s="33" t="s">
        <v>655</v>
      </c>
      <c r="Y11" s="34" t="s">
        <v>656</v>
      </c>
      <c r="Z11" s="35" t="s">
        <v>203</v>
      </c>
      <c r="AA11" s="34" t="s">
        <v>657</v>
      </c>
      <c r="AB11" s="34" t="s">
        <v>658</v>
      </c>
      <c r="AC11" s="33" t="s">
        <v>106</v>
      </c>
      <c r="AD11" s="33" t="s">
        <v>286</v>
      </c>
      <c r="AE11" s="33" t="s">
        <v>203</v>
      </c>
      <c r="AF11" s="33" t="s">
        <v>206</v>
      </c>
      <c r="AG11" s="33" t="s">
        <v>203</v>
      </c>
      <c r="AH11" s="33" t="s">
        <v>203</v>
      </c>
      <c r="AI11" s="33" t="s">
        <v>207</v>
      </c>
      <c r="AJ11" s="33" t="s">
        <v>194</v>
      </c>
      <c r="AK11" s="33" t="s">
        <v>194</v>
      </c>
      <c r="AL11" s="35" t="s">
        <v>208</v>
      </c>
      <c r="AM11" s="35" t="s">
        <v>208</v>
      </c>
      <c r="AN11" s="35" t="s">
        <v>208</v>
      </c>
      <c r="AO11" s="33"/>
      <c r="AP11" s="33"/>
      <c r="AQ11" s="33"/>
      <c r="AR11" s="34" t="s">
        <v>597</v>
      </c>
      <c r="AS11" s="34" t="s">
        <v>609</v>
      </c>
      <c r="AT11" s="34" t="s">
        <v>610</v>
      </c>
      <c r="AU11" s="35" t="s">
        <v>59</v>
      </c>
      <c r="AV11" s="35" t="s">
        <v>99</v>
      </c>
      <c r="AW11" s="37" t="s">
        <v>93</v>
      </c>
      <c r="AX11" s="38" t="s">
        <v>84</v>
      </c>
      <c r="AY11" s="34" t="s">
        <v>659</v>
      </c>
    </row>
    <row r="12" customFormat="false" ht="30" hidden="false" customHeight="true" outlineLevel="0" collapsed="false">
      <c r="A12" s="39" t="n">
        <v>10</v>
      </c>
      <c r="B12" s="40" t="s">
        <v>587</v>
      </c>
      <c r="C12" s="40" t="s">
        <v>660</v>
      </c>
      <c r="D12" s="40" t="s">
        <v>660</v>
      </c>
      <c r="E12" s="40" t="s">
        <v>589</v>
      </c>
      <c r="F12" s="39" t="s">
        <v>590</v>
      </c>
      <c r="G12" s="40" t="s">
        <v>591</v>
      </c>
      <c r="H12" s="40" t="s">
        <v>592</v>
      </c>
      <c r="I12" s="40" t="s">
        <v>593</v>
      </c>
      <c r="J12" s="39" t="s">
        <v>81</v>
      </c>
      <c r="K12" s="40" t="s">
        <v>594</v>
      </c>
      <c r="L12" s="40" t="s">
        <v>595</v>
      </c>
      <c r="M12" s="40" t="s">
        <v>596</v>
      </c>
      <c r="N12" s="39" t="s">
        <v>597</v>
      </c>
      <c r="O12" s="40" t="s">
        <v>661</v>
      </c>
      <c r="P12" s="39" t="s">
        <v>275</v>
      </c>
      <c r="Q12" s="40" t="s">
        <v>662</v>
      </c>
      <c r="R12" s="40" t="s">
        <v>663</v>
      </c>
      <c r="S12" s="40" t="s">
        <v>664</v>
      </c>
      <c r="T12" s="39" t="s">
        <v>279</v>
      </c>
      <c r="U12" s="39" t="s">
        <v>322</v>
      </c>
      <c r="V12" s="39" t="s">
        <v>665</v>
      </c>
      <c r="W12" s="39"/>
      <c r="X12" s="39"/>
      <c r="Y12" s="40" t="s">
        <v>666</v>
      </c>
      <c r="Z12" s="35" t="s">
        <v>203</v>
      </c>
      <c r="AA12" s="40" t="s">
        <v>667</v>
      </c>
      <c r="AB12" s="40" t="s">
        <v>668</v>
      </c>
      <c r="AC12" s="39" t="s">
        <v>106</v>
      </c>
      <c r="AD12" s="39" t="s">
        <v>286</v>
      </c>
      <c r="AE12" s="39" t="s">
        <v>203</v>
      </c>
      <c r="AF12" s="39" t="s">
        <v>206</v>
      </c>
      <c r="AG12" s="39" t="s">
        <v>203</v>
      </c>
      <c r="AH12" s="39" t="s">
        <v>203</v>
      </c>
      <c r="AI12" s="39" t="s">
        <v>207</v>
      </c>
      <c r="AJ12" s="39" t="s">
        <v>194</v>
      </c>
      <c r="AK12" s="39" t="s">
        <v>194</v>
      </c>
      <c r="AL12" s="39"/>
      <c r="AM12" s="39"/>
      <c r="AN12" s="35" t="s">
        <v>208</v>
      </c>
      <c r="AO12" s="35" t="s">
        <v>208</v>
      </c>
      <c r="AP12" s="39"/>
      <c r="AQ12" s="39"/>
      <c r="AR12" s="40" t="s">
        <v>597</v>
      </c>
      <c r="AS12" s="40" t="s">
        <v>609</v>
      </c>
      <c r="AT12" s="40" t="s">
        <v>610</v>
      </c>
      <c r="AU12" s="35" t="s">
        <v>59</v>
      </c>
      <c r="AV12" s="35" t="s">
        <v>99</v>
      </c>
      <c r="AW12" s="36" t="s">
        <v>95</v>
      </c>
      <c r="AX12" s="42" t="s">
        <v>86</v>
      </c>
      <c r="AY12" s="40" t="s">
        <v>669</v>
      </c>
    </row>
    <row r="13" customFormat="false" ht="30" hidden="false" customHeight="true" outlineLevel="0" collapsed="false">
      <c r="A13" s="33" t="n">
        <v>11</v>
      </c>
      <c r="B13" s="34" t="s">
        <v>587</v>
      </c>
      <c r="C13" s="34" t="s">
        <v>660</v>
      </c>
      <c r="D13" s="34" t="s">
        <v>660</v>
      </c>
      <c r="E13" s="34" t="s">
        <v>589</v>
      </c>
      <c r="F13" s="33" t="s">
        <v>590</v>
      </c>
      <c r="G13" s="34" t="s">
        <v>591</v>
      </c>
      <c r="H13" s="34" t="s">
        <v>592</v>
      </c>
      <c r="I13" s="34" t="s">
        <v>593</v>
      </c>
      <c r="J13" s="33" t="s">
        <v>81</v>
      </c>
      <c r="K13" s="34" t="s">
        <v>594</v>
      </c>
      <c r="L13" s="34" t="s">
        <v>595</v>
      </c>
      <c r="M13" s="34" t="s">
        <v>596</v>
      </c>
      <c r="N13" s="33" t="s">
        <v>597</v>
      </c>
      <c r="O13" s="34" t="s">
        <v>670</v>
      </c>
      <c r="P13" s="33" t="s">
        <v>275</v>
      </c>
      <c r="Q13" s="34" t="s">
        <v>671</v>
      </c>
      <c r="R13" s="34" t="s">
        <v>672</v>
      </c>
      <c r="S13" s="34" t="s">
        <v>664</v>
      </c>
      <c r="T13" s="33" t="s">
        <v>279</v>
      </c>
      <c r="U13" s="33" t="s">
        <v>322</v>
      </c>
      <c r="V13" s="33" t="s">
        <v>673</v>
      </c>
      <c r="W13" s="33"/>
      <c r="X13" s="33"/>
      <c r="Y13" s="34"/>
      <c r="Z13" s="35" t="s">
        <v>203</v>
      </c>
      <c r="AA13" s="34" t="s">
        <v>674</v>
      </c>
      <c r="AB13" s="34" t="s">
        <v>179</v>
      </c>
      <c r="AC13" s="33" t="s">
        <v>106</v>
      </c>
      <c r="AD13" s="33" t="s">
        <v>286</v>
      </c>
      <c r="AE13" s="33" t="s">
        <v>203</v>
      </c>
      <c r="AF13" s="33" t="s">
        <v>206</v>
      </c>
      <c r="AG13" s="33" t="s">
        <v>203</v>
      </c>
      <c r="AH13" s="33" t="s">
        <v>203</v>
      </c>
      <c r="AI13" s="33" t="s">
        <v>207</v>
      </c>
      <c r="AJ13" s="33" t="s">
        <v>194</v>
      </c>
      <c r="AK13" s="33" t="s">
        <v>194</v>
      </c>
      <c r="AL13" s="33"/>
      <c r="AM13" s="33"/>
      <c r="AN13" s="33"/>
      <c r="AO13" s="35" t="s">
        <v>208</v>
      </c>
      <c r="AP13" s="33"/>
      <c r="AQ13" s="33"/>
      <c r="AR13" s="34" t="s">
        <v>597</v>
      </c>
      <c r="AS13" s="34" t="s">
        <v>609</v>
      </c>
      <c r="AT13" s="34" t="s">
        <v>610</v>
      </c>
      <c r="AU13" s="35" t="s">
        <v>59</v>
      </c>
      <c r="AV13" s="35" t="s">
        <v>99</v>
      </c>
      <c r="AW13" s="36" t="s">
        <v>95</v>
      </c>
      <c r="AX13" s="42" t="s">
        <v>86</v>
      </c>
      <c r="AY13" s="34"/>
    </row>
    <row r="14" customFormat="false" ht="30" hidden="false" customHeight="true" outlineLevel="0" collapsed="false">
      <c r="A14" s="39" t="n">
        <v>12</v>
      </c>
      <c r="B14" s="40" t="s">
        <v>587</v>
      </c>
      <c r="C14" s="40" t="s">
        <v>588</v>
      </c>
      <c r="D14" s="40" t="s">
        <v>588</v>
      </c>
      <c r="E14" s="40" t="s">
        <v>589</v>
      </c>
      <c r="F14" s="39" t="s">
        <v>590</v>
      </c>
      <c r="G14" s="40" t="s">
        <v>591</v>
      </c>
      <c r="H14" s="40" t="s">
        <v>592</v>
      </c>
      <c r="I14" s="40" t="s">
        <v>593</v>
      </c>
      <c r="J14" s="39" t="s">
        <v>81</v>
      </c>
      <c r="K14" s="40" t="s">
        <v>594</v>
      </c>
      <c r="L14" s="40" t="s">
        <v>595</v>
      </c>
      <c r="M14" s="40" t="s">
        <v>596</v>
      </c>
      <c r="N14" s="39" t="s">
        <v>597</v>
      </c>
      <c r="O14" s="40" t="s">
        <v>675</v>
      </c>
      <c r="P14" s="39" t="s">
        <v>275</v>
      </c>
      <c r="Q14" s="40" t="s">
        <v>676</v>
      </c>
      <c r="R14" s="40" t="s">
        <v>677</v>
      </c>
      <c r="S14" s="40" t="s">
        <v>295</v>
      </c>
      <c r="T14" s="39" t="s">
        <v>279</v>
      </c>
      <c r="U14" s="39" t="s">
        <v>322</v>
      </c>
      <c r="V14" s="39" t="s">
        <v>678</v>
      </c>
      <c r="W14" s="39"/>
      <c r="X14" s="39"/>
      <c r="Y14" s="40"/>
      <c r="Z14" s="35" t="s">
        <v>203</v>
      </c>
      <c r="AA14" s="40" t="s">
        <v>679</v>
      </c>
      <c r="AB14" s="40" t="s">
        <v>300</v>
      </c>
      <c r="AC14" s="39" t="s">
        <v>106</v>
      </c>
      <c r="AD14" s="39" t="s">
        <v>286</v>
      </c>
      <c r="AE14" s="39" t="s">
        <v>203</v>
      </c>
      <c r="AF14" s="39" t="s">
        <v>206</v>
      </c>
      <c r="AG14" s="39" t="s">
        <v>203</v>
      </c>
      <c r="AH14" s="39" t="s">
        <v>203</v>
      </c>
      <c r="AI14" s="39" t="s">
        <v>207</v>
      </c>
      <c r="AJ14" s="39" t="s">
        <v>194</v>
      </c>
      <c r="AK14" s="39" t="s">
        <v>194</v>
      </c>
      <c r="AL14" s="39"/>
      <c r="AM14" s="39"/>
      <c r="AN14" s="39"/>
      <c r="AO14" s="35" t="s">
        <v>208</v>
      </c>
      <c r="AP14" s="39"/>
      <c r="AQ14" s="39"/>
      <c r="AR14" s="40" t="s">
        <v>597</v>
      </c>
      <c r="AS14" s="40" t="s">
        <v>609</v>
      </c>
      <c r="AT14" s="40" t="s">
        <v>610</v>
      </c>
      <c r="AU14" s="35" t="s">
        <v>59</v>
      </c>
      <c r="AV14" s="35" t="s">
        <v>99</v>
      </c>
      <c r="AW14" s="43" t="s">
        <v>97</v>
      </c>
      <c r="AX14" s="44" t="s">
        <v>88</v>
      </c>
      <c r="AY14" s="40" t="s">
        <v>680</v>
      </c>
    </row>
    <row r="15" customFormat="false" ht="30" hidden="false" customHeight="true" outlineLevel="0" collapsed="false">
      <c r="A15" s="33" t="n">
        <v>13</v>
      </c>
      <c r="B15" s="34" t="s">
        <v>587</v>
      </c>
      <c r="C15" s="34" t="s">
        <v>108</v>
      </c>
      <c r="D15" s="34" t="s">
        <v>108</v>
      </c>
      <c r="E15" s="34" t="s">
        <v>589</v>
      </c>
      <c r="F15" s="33" t="s">
        <v>590</v>
      </c>
      <c r="G15" s="34" t="s">
        <v>591</v>
      </c>
      <c r="H15" s="34" t="s">
        <v>592</v>
      </c>
      <c r="I15" s="34" t="s">
        <v>593</v>
      </c>
      <c r="J15" s="33" t="s">
        <v>81</v>
      </c>
      <c r="K15" s="34" t="s">
        <v>594</v>
      </c>
      <c r="L15" s="34" t="s">
        <v>595</v>
      </c>
      <c r="M15" s="34" t="s">
        <v>596</v>
      </c>
      <c r="N15" s="33" t="s">
        <v>597</v>
      </c>
      <c r="O15" s="34" t="s">
        <v>681</v>
      </c>
      <c r="P15" s="33" t="s">
        <v>275</v>
      </c>
      <c r="Q15" s="34" t="s">
        <v>682</v>
      </c>
      <c r="R15" s="34" t="s">
        <v>683</v>
      </c>
      <c r="S15" s="34" t="s">
        <v>684</v>
      </c>
      <c r="T15" s="33" t="s">
        <v>201</v>
      </c>
      <c r="U15" s="33" t="s">
        <v>685</v>
      </c>
      <c r="V15" s="33"/>
      <c r="W15" s="33"/>
      <c r="X15" s="33"/>
      <c r="Y15" s="34" t="s">
        <v>686</v>
      </c>
      <c r="Z15" s="35" t="s">
        <v>203</v>
      </c>
      <c r="AA15" s="34" t="s">
        <v>687</v>
      </c>
      <c r="AB15" s="34" t="s">
        <v>688</v>
      </c>
      <c r="AC15" s="33" t="s">
        <v>108</v>
      </c>
      <c r="AD15" s="33" t="s">
        <v>335</v>
      </c>
      <c r="AE15" s="33" t="s">
        <v>203</v>
      </c>
      <c r="AF15" s="33" t="s">
        <v>206</v>
      </c>
      <c r="AG15" s="33" t="s">
        <v>203</v>
      </c>
      <c r="AH15" s="33" t="s">
        <v>203</v>
      </c>
      <c r="AI15" s="33" t="s">
        <v>203</v>
      </c>
      <c r="AJ15" s="33" t="s">
        <v>689</v>
      </c>
      <c r="AK15" s="33" t="s">
        <v>690</v>
      </c>
      <c r="AL15" s="35" t="s">
        <v>208</v>
      </c>
      <c r="AM15" s="35" t="s">
        <v>208</v>
      </c>
      <c r="AN15" s="33"/>
      <c r="AO15" s="33"/>
      <c r="AP15" s="33"/>
      <c r="AQ15" s="33"/>
      <c r="AR15" s="34" t="s">
        <v>597</v>
      </c>
      <c r="AS15" s="34" t="s">
        <v>609</v>
      </c>
      <c r="AT15" s="34" t="s">
        <v>610</v>
      </c>
      <c r="AU15" s="35" t="s">
        <v>59</v>
      </c>
      <c r="AV15" s="35" t="s">
        <v>99</v>
      </c>
      <c r="AW15" s="37" t="s">
        <v>93</v>
      </c>
      <c r="AX15" s="38" t="s">
        <v>84</v>
      </c>
      <c r="AY15" s="34" t="s">
        <v>691</v>
      </c>
    </row>
    <row r="16" customFormat="false" ht="30" hidden="false" customHeight="true" outlineLevel="0" collapsed="false">
      <c r="A16" s="39" t="n">
        <v>14</v>
      </c>
      <c r="B16" s="40" t="s">
        <v>587</v>
      </c>
      <c r="C16" s="40" t="s">
        <v>692</v>
      </c>
      <c r="D16" s="40" t="s">
        <v>692</v>
      </c>
      <c r="E16" s="40" t="s">
        <v>589</v>
      </c>
      <c r="F16" s="39" t="s">
        <v>590</v>
      </c>
      <c r="G16" s="40" t="s">
        <v>591</v>
      </c>
      <c r="H16" s="40" t="s">
        <v>592</v>
      </c>
      <c r="I16" s="40" t="s">
        <v>593</v>
      </c>
      <c r="J16" s="39" t="s">
        <v>81</v>
      </c>
      <c r="K16" s="40" t="s">
        <v>594</v>
      </c>
      <c r="L16" s="40" t="s">
        <v>595</v>
      </c>
      <c r="M16" s="40" t="s">
        <v>596</v>
      </c>
      <c r="N16" s="39" t="s">
        <v>597</v>
      </c>
      <c r="O16" s="40" t="s">
        <v>693</v>
      </c>
      <c r="P16" s="39" t="s">
        <v>275</v>
      </c>
      <c r="Q16" s="40" t="s">
        <v>694</v>
      </c>
      <c r="R16" s="40" t="s">
        <v>695</v>
      </c>
      <c r="S16" s="40" t="s">
        <v>200</v>
      </c>
      <c r="T16" s="39" t="s">
        <v>696</v>
      </c>
      <c r="U16" s="39" t="s">
        <v>697</v>
      </c>
      <c r="V16" s="39"/>
      <c r="W16" s="39"/>
      <c r="X16" s="39"/>
      <c r="Y16" s="40" t="s">
        <v>698</v>
      </c>
      <c r="Z16" s="35" t="s">
        <v>203</v>
      </c>
      <c r="AA16" s="40" t="s">
        <v>699</v>
      </c>
      <c r="AB16" s="40" t="s">
        <v>247</v>
      </c>
      <c r="AC16" s="39" t="s">
        <v>106</v>
      </c>
      <c r="AD16" s="39" t="s">
        <v>286</v>
      </c>
      <c r="AE16" s="39" t="s">
        <v>203</v>
      </c>
      <c r="AF16" s="39" t="s">
        <v>206</v>
      </c>
      <c r="AG16" s="39" t="s">
        <v>203</v>
      </c>
      <c r="AH16" s="39" t="s">
        <v>203</v>
      </c>
      <c r="AI16" s="39" t="s">
        <v>207</v>
      </c>
      <c r="AJ16" s="39" t="s">
        <v>194</v>
      </c>
      <c r="AK16" s="39" t="s">
        <v>194</v>
      </c>
      <c r="AL16" s="39"/>
      <c r="AM16" s="39"/>
      <c r="AN16" s="39"/>
      <c r="AO16" s="39"/>
      <c r="AP16" s="39"/>
      <c r="AQ16" s="39"/>
      <c r="AR16" s="40" t="s">
        <v>597</v>
      </c>
      <c r="AS16" s="40" t="s">
        <v>609</v>
      </c>
      <c r="AT16" s="40" t="s">
        <v>610</v>
      </c>
      <c r="AU16" s="35" t="s">
        <v>59</v>
      </c>
      <c r="AV16" s="35" t="s">
        <v>99</v>
      </c>
      <c r="AW16" s="37" t="s">
        <v>93</v>
      </c>
      <c r="AX16" s="38" t="s">
        <v>84</v>
      </c>
      <c r="AY16" s="40" t="s">
        <v>700</v>
      </c>
    </row>
    <row r="17" customFormat="false" ht="30" hidden="false" customHeight="true" outlineLevel="0" collapsed="false">
      <c r="A17" s="33" t="n">
        <v>15</v>
      </c>
      <c r="B17" s="34" t="s">
        <v>587</v>
      </c>
      <c r="C17" s="34" t="s">
        <v>579</v>
      </c>
      <c r="D17" s="34" t="s">
        <v>579</v>
      </c>
      <c r="E17" s="34" t="s">
        <v>589</v>
      </c>
      <c r="F17" s="33" t="s">
        <v>590</v>
      </c>
      <c r="G17" s="34" t="s">
        <v>591</v>
      </c>
      <c r="H17" s="34" t="s">
        <v>592</v>
      </c>
      <c r="I17" s="34" t="s">
        <v>593</v>
      </c>
      <c r="J17" s="33" t="s">
        <v>81</v>
      </c>
      <c r="K17" s="34" t="s">
        <v>594</v>
      </c>
      <c r="L17" s="34" t="s">
        <v>595</v>
      </c>
      <c r="M17" s="34" t="s">
        <v>596</v>
      </c>
      <c r="N17" s="33" t="s">
        <v>597</v>
      </c>
      <c r="O17" s="34" t="s">
        <v>701</v>
      </c>
      <c r="P17" s="33" t="s">
        <v>275</v>
      </c>
      <c r="Q17" s="34" t="s">
        <v>702</v>
      </c>
      <c r="R17" s="34" t="s">
        <v>703</v>
      </c>
      <c r="S17" s="34" t="s">
        <v>704</v>
      </c>
      <c r="T17" s="33" t="s">
        <v>201</v>
      </c>
      <c r="U17" s="33" t="s">
        <v>194</v>
      </c>
      <c r="V17" s="33"/>
      <c r="W17" s="33"/>
      <c r="X17" s="33"/>
      <c r="Y17" s="34"/>
      <c r="Z17" s="35" t="s">
        <v>203</v>
      </c>
      <c r="AA17" s="34" t="s">
        <v>705</v>
      </c>
      <c r="AB17" s="34" t="s">
        <v>300</v>
      </c>
      <c r="AC17" s="33" t="s">
        <v>108</v>
      </c>
      <c r="AD17" s="33" t="s">
        <v>335</v>
      </c>
      <c r="AE17" s="33" t="s">
        <v>203</v>
      </c>
      <c r="AF17" s="33" t="s">
        <v>206</v>
      </c>
      <c r="AG17" s="33" t="s">
        <v>203</v>
      </c>
      <c r="AH17" s="33" t="s">
        <v>203</v>
      </c>
      <c r="AI17" s="33" t="s">
        <v>207</v>
      </c>
      <c r="AJ17" s="33" t="s">
        <v>194</v>
      </c>
      <c r="AK17" s="33" t="s">
        <v>194</v>
      </c>
      <c r="AL17" s="33"/>
      <c r="AM17" s="33"/>
      <c r="AN17" s="33"/>
      <c r="AO17" s="35" t="s">
        <v>208</v>
      </c>
      <c r="AP17" s="33"/>
      <c r="AQ17" s="33"/>
      <c r="AR17" s="34" t="s">
        <v>597</v>
      </c>
      <c r="AS17" s="34" t="s">
        <v>609</v>
      </c>
      <c r="AT17" s="34" t="s">
        <v>610</v>
      </c>
      <c r="AU17" s="36" t="s">
        <v>69</v>
      </c>
      <c r="AV17" s="33" t="s">
        <v>81</v>
      </c>
      <c r="AW17" s="36" t="s">
        <v>95</v>
      </c>
      <c r="AX17" s="42" t="s">
        <v>86</v>
      </c>
      <c r="AY17" s="34" t="s">
        <v>706</v>
      </c>
    </row>
    <row r="18" customFormat="false" ht="30" hidden="false" customHeight="true" outlineLevel="0" collapsed="false">
      <c r="A18" s="39" t="n">
        <v>16</v>
      </c>
      <c r="B18" s="40" t="s">
        <v>587</v>
      </c>
      <c r="C18" s="40" t="s">
        <v>707</v>
      </c>
      <c r="D18" s="40" t="s">
        <v>178</v>
      </c>
      <c r="E18" s="40" t="s">
        <v>589</v>
      </c>
      <c r="F18" s="39" t="s">
        <v>590</v>
      </c>
      <c r="G18" s="40" t="s">
        <v>591</v>
      </c>
      <c r="H18" s="40" t="s">
        <v>592</v>
      </c>
      <c r="I18" s="40" t="s">
        <v>593</v>
      </c>
      <c r="J18" s="39" t="s">
        <v>81</v>
      </c>
      <c r="K18" s="40" t="s">
        <v>594</v>
      </c>
      <c r="L18" s="40" t="s">
        <v>595</v>
      </c>
      <c r="M18" s="40" t="s">
        <v>596</v>
      </c>
      <c r="N18" s="39" t="s">
        <v>597</v>
      </c>
      <c r="O18" s="40" t="s">
        <v>708</v>
      </c>
      <c r="P18" s="39" t="s">
        <v>275</v>
      </c>
      <c r="Q18" s="40" t="s">
        <v>709</v>
      </c>
      <c r="R18" s="40" t="s">
        <v>710</v>
      </c>
      <c r="S18" s="40" t="s">
        <v>178</v>
      </c>
      <c r="T18" s="39" t="s">
        <v>279</v>
      </c>
      <c r="U18" s="39" t="s">
        <v>711</v>
      </c>
      <c r="V18" s="39" t="s">
        <v>712</v>
      </c>
      <c r="W18" s="39"/>
      <c r="X18" s="39"/>
      <c r="Y18" s="40"/>
      <c r="Z18" s="35" t="s">
        <v>203</v>
      </c>
      <c r="AA18" s="40" t="s">
        <v>713</v>
      </c>
      <c r="AB18" s="40" t="s">
        <v>285</v>
      </c>
      <c r="AC18" s="39" t="s">
        <v>110</v>
      </c>
      <c r="AD18" s="39" t="s">
        <v>714</v>
      </c>
      <c r="AE18" s="39" t="s">
        <v>203</v>
      </c>
      <c r="AF18" s="39" t="s">
        <v>206</v>
      </c>
      <c r="AG18" s="39" t="s">
        <v>203</v>
      </c>
      <c r="AH18" s="39" t="s">
        <v>203</v>
      </c>
      <c r="AI18" s="39" t="s">
        <v>207</v>
      </c>
      <c r="AJ18" s="39" t="s">
        <v>194</v>
      </c>
      <c r="AK18" s="39" t="s">
        <v>194</v>
      </c>
      <c r="AL18" s="39"/>
      <c r="AM18" s="35" t="s">
        <v>208</v>
      </c>
      <c r="AN18" s="35" t="s">
        <v>208</v>
      </c>
      <c r="AO18" s="39"/>
      <c r="AP18" s="39"/>
      <c r="AQ18" s="39"/>
      <c r="AR18" s="40" t="s">
        <v>597</v>
      </c>
      <c r="AS18" s="40" t="s">
        <v>609</v>
      </c>
      <c r="AT18" s="40" t="s">
        <v>610</v>
      </c>
      <c r="AU18" s="35" t="s">
        <v>59</v>
      </c>
      <c r="AV18" s="35" t="s">
        <v>99</v>
      </c>
      <c r="AW18" s="36" t="s">
        <v>95</v>
      </c>
      <c r="AX18" s="42" t="s">
        <v>86</v>
      </c>
      <c r="AY18" s="40" t="s">
        <v>715</v>
      </c>
    </row>
    <row r="19" customFormat="false" ht="30" hidden="false" customHeight="true" outlineLevel="0" collapsed="false">
      <c r="A19" s="33" t="n">
        <v>17</v>
      </c>
      <c r="B19" s="34" t="s">
        <v>587</v>
      </c>
      <c r="C19" s="34" t="s">
        <v>707</v>
      </c>
      <c r="D19" s="34" t="s">
        <v>181</v>
      </c>
      <c r="E19" s="34" t="s">
        <v>589</v>
      </c>
      <c r="F19" s="33" t="s">
        <v>590</v>
      </c>
      <c r="G19" s="34" t="s">
        <v>591</v>
      </c>
      <c r="H19" s="34" t="s">
        <v>592</v>
      </c>
      <c r="I19" s="34" t="s">
        <v>593</v>
      </c>
      <c r="J19" s="33" t="s">
        <v>81</v>
      </c>
      <c r="K19" s="34" t="s">
        <v>594</v>
      </c>
      <c r="L19" s="34" t="s">
        <v>595</v>
      </c>
      <c r="M19" s="34" t="s">
        <v>596</v>
      </c>
      <c r="N19" s="33" t="s">
        <v>597</v>
      </c>
      <c r="O19" s="34" t="s">
        <v>716</v>
      </c>
      <c r="P19" s="33" t="s">
        <v>275</v>
      </c>
      <c r="Q19" s="34" t="s">
        <v>717</v>
      </c>
      <c r="R19" s="34" t="s">
        <v>718</v>
      </c>
      <c r="S19" s="34" t="s">
        <v>181</v>
      </c>
      <c r="T19" s="33" t="s">
        <v>279</v>
      </c>
      <c r="U19" s="33" t="s">
        <v>719</v>
      </c>
      <c r="V19" s="33" t="s">
        <v>720</v>
      </c>
      <c r="W19" s="33"/>
      <c r="X19" s="33"/>
      <c r="Y19" s="34"/>
      <c r="Z19" s="35" t="s">
        <v>203</v>
      </c>
      <c r="AA19" s="34" t="s">
        <v>721</v>
      </c>
      <c r="AB19" s="34" t="s">
        <v>181</v>
      </c>
      <c r="AC19" s="33" t="s">
        <v>110</v>
      </c>
      <c r="AD19" s="33" t="s">
        <v>714</v>
      </c>
      <c r="AE19" s="33" t="s">
        <v>203</v>
      </c>
      <c r="AF19" s="33" t="s">
        <v>206</v>
      </c>
      <c r="AG19" s="33" t="s">
        <v>203</v>
      </c>
      <c r="AH19" s="33" t="s">
        <v>203</v>
      </c>
      <c r="AI19" s="33" t="s">
        <v>207</v>
      </c>
      <c r="AJ19" s="33" t="s">
        <v>194</v>
      </c>
      <c r="AK19" s="33" t="s">
        <v>194</v>
      </c>
      <c r="AL19" s="33"/>
      <c r="AM19" s="33"/>
      <c r="AN19" s="33"/>
      <c r="AO19" s="33"/>
      <c r="AP19" s="33"/>
      <c r="AQ19" s="35" t="s">
        <v>208</v>
      </c>
      <c r="AR19" s="34" t="s">
        <v>597</v>
      </c>
      <c r="AS19" s="34" t="s">
        <v>609</v>
      </c>
      <c r="AT19" s="34" t="s">
        <v>610</v>
      </c>
      <c r="AU19" s="35" t="s">
        <v>59</v>
      </c>
      <c r="AV19" s="35" t="s">
        <v>99</v>
      </c>
      <c r="AW19" s="36" t="s">
        <v>95</v>
      </c>
      <c r="AX19" s="42" t="s">
        <v>86</v>
      </c>
      <c r="AY19" s="34" t="s">
        <v>722</v>
      </c>
    </row>
    <row r="20" customFormat="false" ht="30" hidden="false" customHeight="true" outlineLevel="0" collapsed="false">
      <c r="A20" s="39" t="n">
        <v>18</v>
      </c>
      <c r="B20" s="40" t="s">
        <v>587</v>
      </c>
      <c r="C20" s="40" t="s">
        <v>707</v>
      </c>
      <c r="D20" s="40" t="s">
        <v>181</v>
      </c>
      <c r="E20" s="40" t="s">
        <v>589</v>
      </c>
      <c r="F20" s="39" t="s">
        <v>590</v>
      </c>
      <c r="G20" s="40" t="s">
        <v>591</v>
      </c>
      <c r="H20" s="40" t="s">
        <v>592</v>
      </c>
      <c r="I20" s="40" t="s">
        <v>593</v>
      </c>
      <c r="J20" s="39" t="s">
        <v>81</v>
      </c>
      <c r="K20" s="40" t="s">
        <v>594</v>
      </c>
      <c r="L20" s="40" t="s">
        <v>595</v>
      </c>
      <c r="M20" s="40" t="s">
        <v>596</v>
      </c>
      <c r="N20" s="39" t="s">
        <v>597</v>
      </c>
      <c r="O20" s="40" t="s">
        <v>723</v>
      </c>
      <c r="P20" s="39" t="s">
        <v>275</v>
      </c>
      <c r="Q20" s="40" t="s">
        <v>724</v>
      </c>
      <c r="R20" s="40" t="s">
        <v>725</v>
      </c>
      <c r="S20" s="40" t="s">
        <v>181</v>
      </c>
      <c r="T20" s="39" t="s">
        <v>279</v>
      </c>
      <c r="U20" s="39" t="s">
        <v>726</v>
      </c>
      <c r="V20" s="39" t="s">
        <v>727</v>
      </c>
      <c r="W20" s="39"/>
      <c r="X20" s="39"/>
      <c r="Y20" s="40"/>
      <c r="Z20" s="35" t="s">
        <v>203</v>
      </c>
      <c r="AA20" s="40" t="s">
        <v>728</v>
      </c>
      <c r="AB20" s="40" t="s">
        <v>181</v>
      </c>
      <c r="AC20" s="39" t="s">
        <v>110</v>
      </c>
      <c r="AD20" s="39" t="s">
        <v>714</v>
      </c>
      <c r="AE20" s="39" t="s">
        <v>203</v>
      </c>
      <c r="AF20" s="39" t="s">
        <v>206</v>
      </c>
      <c r="AG20" s="39" t="s">
        <v>203</v>
      </c>
      <c r="AH20" s="39" t="s">
        <v>203</v>
      </c>
      <c r="AI20" s="39" t="s">
        <v>207</v>
      </c>
      <c r="AJ20" s="39" t="s">
        <v>194</v>
      </c>
      <c r="AK20" s="39" t="s">
        <v>194</v>
      </c>
      <c r="AL20" s="39"/>
      <c r="AM20" s="39"/>
      <c r="AN20" s="39"/>
      <c r="AO20" s="39"/>
      <c r="AP20" s="39"/>
      <c r="AQ20" s="35" t="s">
        <v>208</v>
      </c>
      <c r="AR20" s="40" t="s">
        <v>597</v>
      </c>
      <c r="AS20" s="40" t="s">
        <v>609</v>
      </c>
      <c r="AT20" s="40" t="s">
        <v>610</v>
      </c>
      <c r="AU20" s="35" t="s">
        <v>59</v>
      </c>
      <c r="AV20" s="33" t="s">
        <v>81</v>
      </c>
      <c r="AW20" s="43" t="s">
        <v>97</v>
      </c>
      <c r="AX20" s="44" t="s">
        <v>88</v>
      </c>
      <c r="AY20" s="40" t="s">
        <v>729</v>
      </c>
    </row>
    <row r="21" customFormat="false" ht="30" hidden="false" customHeight="true" outlineLevel="0" collapsed="false">
      <c r="A21" s="33" t="n">
        <v>19</v>
      </c>
      <c r="B21" s="34" t="s">
        <v>587</v>
      </c>
      <c r="C21" s="34" t="s">
        <v>707</v>
      </c>
      <c r="D21" s="34" t="s">
        <v>660</v>
      </c>
      <c r="E21" s="34" t="s">
        <v>589</v>
      </c>
      <c r="F21" s="33" t="s">
        <v>590</v>
      </c>
      <c r="G21" s="34" t="s">
        <v>591</v>
      </c>
      <c r="H21" s="34" t="s">
        <v>592</v>
      </c>
      <c r="I21" s="34" t="s">
        <v>593</v>
      </c>
      <c r="J21" s="33" t="s">
        <v>81</v>
      </c>
      <c r="K21" s="34" t="s">
        <v>594</v>
      </c>
      <c r="L21" s="34" t="s">
        <v>595</v>
      </c>
      <c r="M21" s="34" t="s">
        <v>596</v>
      </c>
      <c r="N21" s="33" t="s">
        <v>597</v>
      </c>
      <c r="O21" s="34" t="s">
        <v>730</v>
      </c>
      <c r="P21" s="33" t="s">
        <v>275</v>
      </c>
      <c r="Q21" s="34" t="s">
        <v>731</v>
      </c>
      <c r="R21" s="34" t="s">
        <v>732</v>
      </c>
      <c r="S21" s="34" t="s">
        <v>200</v>
      </c>
      <c r="T21" s="33" t="s">
        <v>201</v>
      </c>
      <c r="U21" s="33" t="s">
        <v>194</v>
      </c>
      <c r="V21" s="33"/>
      <c r="W21" s="33"/>
      <c r="X21" s="33"/>
      <c r="Y21" s="34" t="s">
        <v>733</v>
      </c>
      <c r="Z21" s="36" t="s">
        <v>97</v>
      </c>
      <c r="AA21" s="34" t="s">
        <v>734</v>
      </c>
      <c r="AB21" s="34" t="s">
        <v>348</v>
      </c>
      <c r="AC21" s="33" t="s">
        <v>110</v>
      </c>
      <c r="AD21" s="33" t="s">
        <v>714</v>
      </c>
      <c r="AE21" s="33" t="s">
        <v>203</v>
      </c>
      <c r="AF21" s="33" t="s">
        <v>206</v>
      </c>
      <c r="AG21" s="33" t="s">
        <v>203</v>
      </c>
      <c r="AH21" s="33" t="s">
        <v>203</v>
      </c>
      <c r="AI21" s="33" t="s">
        <v>207</v>
      </c>
      <c r="AJ21" s="33" t="s">
        <v>194</v>
      </c>
      <c r="AK21" s="33" t="s">
        <v>194</v>
      </c>
      <c r="AL21" s="33"/>
      <c r="AM21" s="33"/>
      <c r="AN21" s="33"/>
      <c r="AO21" s="33"/>
      <c r="AP21" s="33"/>
      <c r="AQ21" s="33"/>
      <c r="AR21" s="34" t="s">
        <v>597</v>
      </c>
      <c r="AS21" s="34" t="s">
        <v>609</v>
      </c>
      <c r="AT21" s="34" t="s">
        <v>610</v>
      </c>
      <c r="AU21" s="35" t="s">
        <v>59</v>
      </c>
      <c r="AV21" s="35" t="s">
        <v>99</v>
      </c>
      <c r="AW21" s="43" t="s">
        <v>97</v>
      </c>
      <c r="AX21" s="44" t="s">
        <v>88</v>
      </c>
      <c r="AY21" s="34"/>
    </row>
  </sheetData>
  <mergeCells count="1">
    <mergeCell ref="A1:A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8" min="18" style="0" width="34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1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22"/>
    <col collapsed="false" customWidth="true" hidden="false" outlineLevel="0" max="26" min="26" style="0" width="9"/>
    <col collapsed="false" customWidth="true" hidden="false" outlineLevel="0" max="27" min="27" style="0" width="30"/>
    <col collapsed="false" customWidth="true" hidden="false" outlineLevel="0" max="28" min="28" style="0" width="20"/>
    <col collapsed="false" customWidth="true" hidden="false" outlineLevel="0" max="29" min="29" style="0" width="13"/>
    <col collapsed="false" customWidth="true" hidden="false" outlineLevel="0" max="30" min="30" style="0" width="14"/>
    <col collapsed="false" customWidth="true" hidden="false" outlineLevel="0" max="31" min="31" style="0" width="9"/>
    <col collapsed="false" customWidth="true" hidden="false" outlineLevel="0" max="32" min="32" style="0" width="18"/>
    <col collapsed="false" customWidth="true" hidden="false" outlineLevel="0" max="33" min="33" style="0" width="9"/>
    <col collapsed="false" customWidth="true" hidden="false" outlineLevel="0" max="35" min="34" style="0" width="8"/>
    <col collapsed="false" customWidth="true" hidden="false" outlineLevel="0" max="37" min="36" style="0" width="11"/>
    <col collapsed="false" customWidth="true" hidden="false" outlineLevel="0" max="38" min="38" style="0" width="8"/>
    <col collapsed="false" customWidth="true" hidden="false" outlineLevel="0" max="39" min="39" style="0" width="6"/>
    <col collapsed="false" customWidth="true" hidden="false" outlineLevel="0" max="40" min="40" style="0" width="9"/>
    <col collapsed="false" customWidth="true" hidden="false" outlineLevel="0" max="41" min="41" style="0" width="8"/>
    <col collapsed="false" customWidth="true" hidden="false" outlineLevel="0" max="42" min="42" style="0" width="10"/>
    <col collapsed="false" customWidth="true" hidden="false" outlineLevel="0" max="43" min="43" style="0" width="7"/>
    <col collapsed="false" customWidth="true" hidden="false" outlineLevel="0" max="45" min="44" style="0" width="18"/>
    <col collapsed="false" customWidth="true" hidden="false" outlineLevel="0" max="47" min="46" style="0" width="22"/>
    <col collapsed="false" customWidth="true" hidden="false" outlineLevel="0" max="48" min="48" style="0" width="13"/>
    <col collapsed="false" customWidth="true" hidden="false" outlineLevel="0" max="49" min="49" style="0" width="11"/>
    <col collapsed="false" customWidth="true" hidden="false" outlineLevel="0" max="50" min="50" style="0" width="9"/>
    <col collapsed="false" customWidth="true" hidden="false" outlineLevel="0" max="51" min="51" style="0" width="40"/>
  </cols>
  <sheetData>
    <row r="1" customFormat="false" ht="21.75" hidden="false" customHeight="true" outlineLevel="0" collapsed="false">
      <c r="A1" s="31" t="s">
        <v>735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</row>
    <row r="2" customFormat="false" ht="19.4" hidden="false" customHeight="false" outlineLevel="0" collapsed="false">
      <c r="A2" s="32" t="s">
        <v>140</v>
      </c>
      <c r="B2" s="32" t="s">
        <v>141</v>
      </c>
      <c r="C2" s="32" t="s">
        <v>142</v>
      </c>
      <c r="D2" s="32" t="s">
        <v>143</v>
      </c>
      <c r="E2" s="32" t="s">
        <v>144</v>
      </c>
      <c r="F2" s="32" t="s">
        <v>145</v>
      </c>
      <c r="G2" s="32" t="s">
        <v>146</v>
      </c>
      <c r="H2" s="32" t="s">
        <v>147</v>
      </c>
      <c r="I2" s="32" t="s">
        <v>148</v>
      </c>
      <c r="J2" s="32" t="s">
        <v>149</v>
      </c>
      <c r="K2" s="32" t="s">
        <v>150</v>
      </c>
      <c r="L2" s="32" t="s">
        <v>151</v>
      </c>
      <c r="M2" s="32" t="s">
        <v>152</v>
      </c>
      <c r="N2" s="32" t="s">
        <v>153</v>
      </c>
      <c r="O2" s="32" t="s">
        <v>154</v>
      </c>
      <c r="P2" s="32" t="s">
        <v>155</v>
      </c>
      <c r="Q2" s="32" t="s">
        <v>156</v>
      </c>
      <c r="R2" s="32" t="s">
        <v>157</v>
      </c>
      <c r="S2" s="32" t="s">
        <v>117</v>
      </c>
      <c r="T2" s="32" t="s">
        <v>158</v>
      </c>
      <c r="U2" s="32" t="s">
        <v>159</v>
      </c>
      <c r="V2" s="32" t="s">
        <v>160</v>
      </c>
      <c r="W2" s="32" t="s">
        <v>161</v>
      </c>
      <c r="X2" s="32" t="s">
        <v>162</v>
      </c>
      <c r="Y2" s="32" t="s">
        <v>163</v>
      </c>
      <c r="Z2" s="32" t="s">
        <v>164</v>
      </c>
      <c r="AA2" s="32" t="s">
        <v>165</v>
      </c>
      <c r="AB2" s="32" t="s">
        <v>166</v>
      </c>
      <c r="AC2" s="32" t="s">
        <v>167</v>
      </c>
      <c r="AD2" s="32" t="s">
        <v>168</v>
      </c>
      <c r="AE2" s="32" t="s">
        <v>169</v>
      </c>
      <c r="AF2" s="32" t="s">
        <v>170</v>
      </c>
      <c r="AG2" s="32" t="s">
        <v>171</v>
      </c>
      <c r="AH2" s="32" t="s">
        <v>172</v>
      </c>
      <c r="AI2" s="32" t="s">
        <v>173</v>
      </c>
      <c r="AJ2" s="32" t="s">
        <v>174</v>
      </c>
      <c r="AK2" s="32" t="s">
        <v>175</v>
      </c>
      <c r="AL2" s="32" t="s">
        <v>176</v>
      </c>
      <c r="AM2" s="32" t="s">
        <v>177</v>
      </c>
      <c r="AN2" s="32" t="s">
        <v>178</v>
      </c>
      <c r="AO2" s="32" t="s">
        <v>179</v>
      </c>
      <c r="AP2" s="32" t="s">
        <v>180</v>
      </c>
      <c r="AQ2" s="32" t="s">
        <v>181</v>
      </c>
      <c r="AR2" s="32" t="s">
        <v>182</v>
      </c>
      <c r="AS2" s="32" t="s">
        <v>183</v>
      </c>
      <c r="AT2" s="32" t="s">
        <v>184</v>
      </c>
      <c r="AU2" s="32" t="s">
        <v>185</v>
      </c>
      <c r="AV2" s="32" t="s">
        <v>186</v>
      </c>
      <c r="AW2" s="32" t="s">
        <v>187</v>
      </c>
      <c r="AX2" s="32" t="s">
        <v>188</v>
      </c>
      <c r="AY2" s="32" t="s">
        <v>189</v>
      </c>
    </row>
    <row r="3" customFormat="false" ht="30" hidden="false" customHeight="true" outlineLevel="0" collapsed="false">
      <c r="A3" s="33" t="n">
        <v>1</v>
      </c>
      <c r="B3" s="34" t="s">
        <v>736</v>
      </c>
      <c r="C3" s="34" t="s">
        <v>737</v>
      </c>
      <c r="D3" s="34" t="s">
        <v>737</v>
      </c>
      <c r="E3" s="34" t="s">
        <v>738</v>
      </c>
      <c r="F3" s="33" t="s">
        <v>739</v>
      </c>
      <c r="G3" s="34" t="s">
        <v>476</v>
      </c>
      <c r="H3" s="34" t="s">
        <v>477</v>
      </c>
      <c r="I3" s="34" t="s">
        <v>478</v>
      </c>
      <c r="J3" s="33" t="s">
        <v>81</v>
      </c>
      <c r="K3" s="34" t="s">
        <v>194</v>
      </c>
      <c r="L3" s="34" t="s">
        <v>194</v>
      </c>
      <c r="M3" s="34" t="s">
        <v>479</v>
      </c>
      <c r="N3" s="33" t="s">
        <v>480</v>
      </c>
      <c r="O3" s="34" t="s">
        <v>740</v>
      </c>
      <c r="P3" s="33" t="s">
        <v>275</v>
      </c>
      <c r="Q3" s="34" t="s">
        <v>741</v>
      </c>
      <c r="R3" s="34" t="s">
        <v>742</v>
      </c>
      <c r="S3" s="34" t="s">
        <v>511</v>
      </c>
      <c r="T3" s="33" t="s">
        <v>279</v>
      </c>
      <c r="U3" s="33" t="s">
        <v>322</v>
      </c>
      <c r="V3" s="33"/>
      <c r="W3" s="33"/>
      <c r="X3" s="33"/>
      <c r="Y3" s="34"/>
      <c r="Z3" s="35" t="s">
        <v>203</v>
      </c>
      <c r="AA3" s="34" t="s">
        <v>743</v>
      </c>
      <c r="AB3" s="34" t="s">
        <v>551</v>
      </c>
      <c r="AC3" s="33" t="s">
        <v>108</v>
      </c>
      <c r="AD3" s="33" t="s">
        <v>335</v>
      </c>
      <c r="AE3" s="33" t="s">
        <v>203</v>
      </c>
      <c r="AF3" s="33" t="s">
        <v>206</v>
      </c>
      <c r="AG3" s="33" t="s">
        <v>203</v>
      </c>
      <c r="AH3" s="33" t="s">
        <v>203</v>
      </c>
      <c r="AI3" s="33" t="s">
        <v>207</v>
      </c>
      <c r="AJ3" s="33" t="s">
        <v>194</v>
      </c>
      <c r="AK3" s="33" t="s">
        <v>194</v>
      </c>
      <c r="AL3" s="33"/>
      <c r="AM3" s="33"/>
      <c r="AN3" s="33"/>
      <c r="AO3" s="35" t="s">
        <v>208</v>
      </c>
      <c r="AP3" s="33"/>
      <c r="AQ3" s="33"/>
      <c r="AR3" s="34" t="s">
        <v>480</v>
      </c>
      <c r="AS3" s="34" t="s">
        <v>486</v>
      </c>
      <c r="AT3" s="34" t="s">
        <v>487</v>
      </c>
      <c r="AU3" s="36" t="s">
        <v>69</v>
      </c>
      <c r="AV3" s="33" t="s">
        <v>81</v>
      </c>
      <c r="AW3" s="36" t="s">
        <v>95</v>
      </c>
      <c r="AX3" s="42" t="s">
        <v>86</v>
      </c>
      <c r="AY3" s="34" t="s">
        <v>744</v>
      </c>
    </row>
    <row r="4" customFormat="false" ht="30" hidden="false" customHeight="true" outlineLevel="0" collapsed="false">
      <c r="A4" s="39" t="n">
        <v>2</v>
      </c>
      <c r="B4" s="40" t="s">
        <v>736</v>
      </c>
      <c r="C4" s="40" t="s">
        <v>737</v>
      </c>
      <c r="D4" s="40" t="s">
        <v>737</v>
      </c>
      <c r="E4" s="40" t="s">
        <v>738</v>
      </c>
      <c r="F4" s="39" t="s">
        <v>739</v>
      </c>
      <c r="G4" s="40" t="s">
        <v>476</v>
      </c>
      <c r="H4" s="40" t="s">
        <v>477</v>
      </c>
      <c r="I4" s="40" t="s">
        <v>478</v>
      </c>
      <c r="J4" s="39" t="s">
        <v>81</v>
      </c>
      <c r="K4" s="40" t="s">
        <v>194</v>
      </c>
      <c r="L4" s="40" t="s">
        <v>194</v>
      </c>
      <c r="M4" s="40" t="s">
        <v>479</v>
      </c>
      <c r="N4" s="39" t="s">
        <v>480</v>
      </c>
      <c r="O4" s="40" t="s">
        <v>745</v>
      </c>
      <c r="P4" s="39" t="s">
        <v>275</v>
      </c>
      <c r="Q4" s="40" t="s">
        <v>746</v>
      </c>
      <c r="R4" s="40" t="s">
        <v>747</v>
      </c>
      <c r="S4" s="40" t="s">
        <v>748</v>
      </c>
      <c r="T4" s="39" t="s">
        <v>279</v>
      </c>
      <c r="U4" s="39" t="s">
        <v>322</v>
      </c>
      <c r="V4" s="39"/>
      <c r="W4" s="39"/>
      <c r="X4" s="39"/>
      <c r="Y4" s="40" t="s">
        <v>749</v>
      </c>
      <c r="Z4" s="35" t="s">
        <v>203</v>
      </c>
      <c r="AA4" s="40" t="s">
        <v>750</v>
      </c>
      <c r="AB4" s="40" t="s">
        <v>179</v>
      </c>
      <c r="AC4" s="39" t="s">
        <v>106</v>
      </c>
      <c r="AD4" s="39" t="s">
        <v>286</v>
      </c>
      <c r="AE4" s="39" t="s">
        <v>203</v>
      </c>
      <c r="AF4" s="39" t="s">
        <v>206</v>
      </c>
      <c r="AG4" s="39" t="s">
        <v>203</v>
      </c>
      <c r="AH4" s="39" t="s">
        <v>203</v>
      </c>
      <c r="AI4" s="39" t="s">
        <v>207</v>
      </c>
      <c r="AJ4" s="39" t="s">
        <v>194</v>
      </c>
      <c r="AK4" s="39" t="s">
        <v>194</v>
      </c>
      <c r="AL4" s="39"/>
      <c r="AM4" s="39"/>
      <c r="AN4" s="39"/>
      <c r="AO4" s="35" t="s">
        <v>208</v>
      </c>
      <c r="AP4" s="39"/>
      <c r="AQ4" s="39"/>
      <c r="AR4" s="40" t="s">
        <v>480</v>
      </c>
      <c r="AS4" s="40" t="s">
        <v>486</v>
      </c>
      <c r="AT4" s="40" t="s">
        <v>487</v>
      </c>
      <c r="AU4" s="36" t="s">
        <v>69</v>
      </c>
      <c r="AV4" s="33" t="s">
        <v>81</v>
      </c>
      <c r="AW4" s="36" t="s">
        <v>95</v>
      </c>
      <c r="AX4" s="42" t="s">
        <v>86</v>
      </c>
      <c r="AY4" s="40"/>
    </row>
    <row r="5" customFormat="false" ht="30" hidden="false" customHeight="true" outlineLevel="0" collapsed="false">
      <c r="A5" s="33" t="n">
        <v>3</v>
      </c>
      <c r="B5" s="34" t="s">
        <v>736</v>
      </c>
      <c r="C5" s="34" t="s">
        <v>737</v>
      </c>
      <c r="D5" s="34" t="s">
        <v>737</v>
      </c>
      <c r="E5" s="34" t="s">
        <v>738</v>
      </c>
      <c r="F5" s="33" t="s">
        <v>739</v>
      </c>
      <c r="G5" s="34" t="s">
        <v>476</v>
      </c>
      <c r="H5" s="34" t="s">
        <v>477</v>
      </c>
      <c r="I5" s="34" t="s">
        <v>478</v>
      </c>
      <c r="J5" s="33" t="s">
        <v>81</v>
      </c>
      <c r="K5" s="34" t="s">
        <v>194</v>
      </c>
      <c r="L5" s="34" t="s">
        <v>194</v>
      </c>
      <c r="M5" s="34" t="s">
        <v>479</v>
      </c>
      <c r="N5" s="33" t="s">
        <v>480</v>
      </c>
      <c r="O5" s="34" t="s">
        <v>751</v>
      </c>
      <c r="P5" s="33" t="s">
        <v>275</v>
      </c>
      <c r="Q5" s="34" t="s">
        <v>752</v>
      </c>
      <c r="R5" s="34" t="s">
        <v>753</v>
      </c>
      <c r="S5" s="34" t="s">
        <v>748</v>
      </c>
      <c r="T5" s="33" t="s">
        <v>279</v>
      </c>
      <c r="U5" s="33" t="s">
        <v>322</v>
      </c>
      <c r="V5" s="33"/>
      <c r="W5" s="33"/>
      <c r="X5" s="33"/>
      <c r="Y5" s="34"/>
      <c r="Z5" s="36" t="s">
        <v>97</v>
      </c>
      <c r="AA5" s="34" t="s">
        <v>754</v>
      </c>
      <c r="AB5" s="34" t="s">
        <v>179</v>
      </c>
      <c r="AC5" s="33" t="s">
        <v>106</v>
      </c>
      <c r="AD5" s="33" t="s">
        <v>286</v>
      </c>
      <c r="AE5" s="33" t="s">
        <v>203</v>
      </c>
      <c r="AF5" s="33" t="s">
        <v>206</v>
      </c>
      <c r="AG5" s="33" t="s">
        <v>203</v>
      </c>
      <c r="AH5" s="33" t="s">
        <v>203</v>
      </c>
      <c r="AI5" s="33" t="s">
        <v>207</v>
      </c>
      <c r="AJ5" s="33" t="s">
        <v>194</v>
      </c>
      <c r="AK5" s="33" t="s">
        <v>194</v>
      </c>
      <c r="AL5" s="33"/>
      <c r="AM5" s="33"/>
      <c r="AN5" s="33"/>
      <c r="AO5" s="35" t="s">
        <v>208</v>
      </c>
      <c r="AP5" s="33"/>
      <c r="AQ5" s="33"/>
      <c r="AR5" s="34" t="s">
        <v>480</v>
      </c>
      <c r="AS5" s="34" t="s">
        <v>486</v>
      </c>
      <c r="AT5" s="34" t="s">
        <v>487</v>
      </c>
      <c r="AU5" s="36" t="s">
        <v>69</v>
      </c>
      <c r="AV5" s="33" t="s">
        <v>81</v>
      </c>
      <c r="AW5" s="43" t="s">
        <v>97</v>
      </c>
      <c r="AX5" s="44" t="s">
        <v>88</v>
      </c>
      <c r="AY5" s="34"/>
    </row>
    <row r="6" customFormat="false" ht="30" hidden="false" customHeight="true" outlineLevel="0" collapsed="false">
      <c r="A6" s="39" t="n">
        <v>4</v>
      </c>
      <c r="B6" s="40" t="s">
        <v>736</v>
      </c>
      <c r="C6" s="40" t="s">
        <v>755</v>
      </c>
      <c r="D6" s="40" t="s">
        <v>755</v>
      </c>
      <c r="E6" s="40" t="s">
        <v>738</v>
      </c>
      <c r="F6" s="39" t="s">
        <v>739</v>
      </c>
      <c r="G6" s="40" t="s">
        <v>476</v>
      </c>
      <c r="H6" s="40" t="s">
        <v>477</v>
      </c>
      <c r="I6" s="40" t="s">
        <v>478</v>
      </c>
      <c r="J6" s="39" t="s">
        <v>81</v>
      </c>
      <c r="K6" s="40" t="s">
        <v>194</v>
      </c>
      <c r="L6" s="40" t="s">
        <v>194</v>
      </c>
      <c r="M6" s="40" t="s">
        <v>479</v>
      </c>
      <c r="N6" s="39" t="s">
        <v>480</v>
      </c>
      <c r="O6" s="40" t="s">
        <v>756</v>
      </c>
      <c r="P6" s="39" t="s">
        <v>275</v>
      </c>
      <c r="Q6" s="40" t="s">
        <v>757</v>
      </c>
      <c r="R6" s="40" t="s">
        <v>758</v>
      </c>
      <c r="S6" s="40" t="s">
        <v>759</v>
      </c>
      <c r="T6" s="39" t="s">
        <v>279</v>
      </c>
      <c r="U6" s="39" t="s">
        <v>322</v>
      </c>
      <c r="V6" s="39"/>
      <c r="W6" s="39"/>
      <c r="X6" s="39"/>
      <c r="Y6" s="40"/>
      <c r="Z6" s="36" t="s">
        <v>97</v>
      </c>
      <c r="AA6" s="40" t="s">
        <v>760</v>
      </c>
      <c r="AB6" s="40" t="s">
        <v>300</v>
      </c>
      <c r="AC6" s="39" t="s">
        <v>108</v>
      </c>
      <c r="AD6" s="39" t="s">
        <v>335</v>
      </c>
      <c r="AE6" s="39" t="s">
        <v>203</v>
      </c>
      <c r="AF6" s="39" t="s">
        <v>206</v>
      </c>
      <c r="AG6" s="39" t="s">
        <v>203</v>
      </c>
      <c r="AH6" s="39" t="s">
        <v>203</v>
      </c>
      <c r="AI6" s="39" t="s">
        <v>207</v>
      </c>
      <c r="AJ6" s="39" t="s">
        <v>194</v>
      </c>
      <c r="AK6" s="39" t="s">
        <v>194</v>
      </c>
      <c r="AL6" s="39"/>
      <c r="AM6" s="39"/>
      <c r="AN6" s="39"/>
      <c r="AO6" s="39"/>
      <c r="AP6" s="39"/>
      <c r="AQ6" s="39"/>
      <c r="AR6" s="40" t="s">
        <v>480</v>
      </c>
      <c r="AS6" s="40" t="s">
        <v>486</v>
      </c>
      <c r="AT6" s="40" t="s">
        <v>487</v>
      </c>
      <c r="AU6" s="36" t="s">
        <v>69</v>
      </c>
      <c r="AV6" s="33" t="s">
        <v>81</v>
      </c>
      <c r="AW6" s="43" t="s">
        <v>97</v>
      </c>
      <c r="AX6" s="44" t="s">
        <v>88</v>
      </c>
      <c r="AY6" s="40"/>
    </row>
  </sheetData>
  <mergeCells count="1">
    <mergeCell ref="A1:A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8" min="18" style="0" width="34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1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22"/>
    <col collapsed="false" customWidth="true" hidden="false" outlineLevel="0" max="26" min="26" style="0" width="9"/>
    <col collapsed="false" customWidth="true" hidden="false" outlineLevel="0" max="27" min="27" style="0" width="30"/>
    <col collapsed="false" customWidth="true" hidden="false" outlineLevel="0" max="28" min="28" style="0" width="20"/>
    <col collapsed="false" customWidth="true" hidden="false" outlineLevel="0" max="29" min="29" style="0" width="13"/>
    <col collapsed="false" customWidth="true" hidden="false" outlineLevel="0" max="30" min="30" style="0" width="14"/>
    <col collapsed="false" customWidth="true" hidden="false" outlineLevel="0" max="31" min="31" style="0" width="9"/>
    <col collapsed="false" customWidth="true" hidden="false" outlineLevel="0" max="32" min="32" style="0" width="18"/>
    <col collapsed="false" customWidth="true" hidden="false" outlineLevel="0" max="33" min="33" style="0" width="9"/>
    <col collapsed="false" customWidth="true" hidden="false" outlineLevel="0" max="35" min="34" style="0" width="8"/>
    <col collapsed="false" customWidth="true" hidden="false" outlineLevel="0" max="37" min="36" style="0" width="11"/>
    <col collapsed="false" customWidth="true" hidden="false" outlineLevel="0" max="38" min="38" style="0" width="8"/>
    <col collapsed="false" customWidth="true" hidden="false" outlineLevel="0" max="39" min="39" style="0" width="6"/>
    <col collapsed="false" customWidth="true" hidden="false" outlineLevel="0" max="40" min="40" style="0" width="9"/>
    <col collapsed="false" customWidth="true" hidden="false" outlineLevel="0" max="41" min="41" style="0" width="8"/>
    <col collapsed="false" customWidth="true" hidden="false" outlineLevel="0" max="42" min="42" style="0" width="10"/>
    <col collapsed="false" customWidth="true" hidden="false" outlineLevel="0" max="43" min="43" style="0" width="7"/>
    <col collapsed="false" customWidth="true" hidden="false" outlineLevel="0" max="45" min="44" style="0" width="18"/>
    <col collapsed="false" customWidth="true" hidden="false" outlineLevel="0" max="47" min="46" style="0" width="22"/>
    <col collapsed="false" customWidth="true" hidden="false" outlineLevel="0" max="48" min="48" style="0" width="13"/>
    <col collapsed="false" customWidth="true" hidden="false" outlineLevel="0" max="49" min="49" style="0" width="11"/>
    <col collapsed="false" customWidth="true" hidden="false" outlineLevel="0" max="50" min="50" style="0" width="9"/>
    <col collapsed="false" customWidth="true" hidden="false" outlineLevel="0" max="51" min="51" style="0" width="40"/>
  </cols>
  <sheetData>
    <row r="1" customFormat="false" ht="21.75" hidden="false" customHeight="true" outlineLevel="0" collapsed="false">
      <c r="A1" s="31" t="s">
        <v>761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</row>
    <row r="2" customFormat="false" ht="19.4" hidden="false" customHeight="false" outlineLevel="0" collapsed="false">
      <c r="A2" s="32" t="s">
        <v>140</v>
      </c>
      <c r="B2" s="32" t="s">
        <v>141</v>
      </c>
      <c r="C2" s="32" t="s">
        <v>142</v>
      </c>
      <c r="D2" s="32" t="s">
        <v>143</v>
      </c>
      <c r="E2" s="32" t="s">
        <v>144</v>
      </c>
      <c r="F2" s="32" t="s">
        <v>145</v>
      </c>
      <c r="G2" s="32" t="s">
        <v>146</v>
      </c>
      <c r="H2" s="32" t="s">
        <v>147</v>
      </c>
      <c r="I2" s="32" t="s">
        <v>148</v>
      </c>
      <c r="J2" s="32" t="s">
        <v>149</v>
      </c>
      <c r="K2" s="32" t="s">
        <v>150</v>
      </c>
      <c r="L2" s="32" t="s">
        <v>151</v>
      </c>
      <c r="M2" s="32" t="s">
        <v>152</v>
      </c>
      <c r="N2" s="32" t="s">
        <v>153</v>
      </c>
      <c r="O2" s="32" t="s">
        <v>154</v>
      </c>
      <c r="P2" s="32" t="s">
        <v>155</v>
      </c>
      <c r="Q2" s="32" t="s">
        <v>156</v>
      </c>
      <c r="R2" s="32" t="s">
        <v>157</v>
      </c>
      <c r="S2" s="32" t="s">
        <v>117</v>
      </c>
      <c r="T2" s="32" t="s">
        <v>158</v>
      </c>
      <c r="U2" s="32" t="s">
        <v>159</v>
      </c>
      <c r="V2" s="32" t="s">
        <v>160</v>
      </c>
      <c r="W2" s="32" t="s">
        <v>161</v>
      </c>
      <c r="X2" s="32" t="s">
        <v>162</v>
      </c>
      <c r="Y2" s="32" t="s">
        <v>163</v>
      </c>
      <c r="Z2" s="32" t="s">
        <v>164</v>
      </c>
      <c r="AA2" s="32" t="s">
        <v>165</v>
      </c>
      <c r="AB2" s="32" t="s">
        <v>166</v>
      </c>
      <c r="AC2" s="32" t="s">
        <v>167</v>
      </c>
      <c r="AD2" s="32" t="s">
        <v>168</v>
      </c>
      <c r="AE2" s="32" t="s">
        <v>169</v>
      </c>
      <c r="AF2" s="32" t="s">
        <v>170</v>
      </c>
      <c r="AG2" s="32" t="s">
        <v>171</v>
      </c>
      <c r="AH2" s="32" t="s">
        <v>172</v>
      </c>
      <c r="AI2" s="32" t="s">
        <v>173</v>
      </c>
      <c r="AJ2" s="32" t="s">
        <v>174</v>
      </c>
      <c r="AK2" s="32" t="s">
        <v>175</v>
      </c>
      <c r="AL2" s="32" t="s">
        <v>176</v>
      </c>
      <c r="AM2" s="32" t="s">
        <v>177</v>
      </c>
      <c r="AN2" s="32" t="s">
        <v>178</v>
      </c>
      <c r="AO2" s="32" t="s">
        <v>179</v>
      </c>
      <c r="AP2" s="32" t="s">
        <v>180</v>
      </c>
      <c r="AQ2" s="32" t="s">
        <v>181</v>
      </c>
      <c r="AR2" s="32" t="s">
        <v>182</v>
      </c>
      <c r="AS2" s="32" t="s">
        <v>183</v>
      </c>
      <c r="AT2" s="32" t="s">
        <v>184</v>
      </c>
      <c r="AU2" s="32" t="s">
        <v>185</v>
      </c>
      <c r="AV2" s="32" t="s">
        <v>186</v>
      </c>
      <c r="AW2" s="32" t="s">
        <v>187</v>
      </c>
      <c r="AX2" s="32" t="s">
        <v>188</v>
      </c>
      <c r="AY2" s="32" t="s">
        <v>189</v>
      </c>
    </row>
    <row r="3" customFormat="false" ht="30" hidden="false" customHeight="true" outlineLevel="0" collapsed="false">
      <c r="A3" s="33" t="n">
        <v>1</v>
      </c>
      <c r="B3" s="34" t="s">
        <v>762</v>
      </c>
      <c r="C3" s="34" t="s">
        <v>755</v>
      </c>
      <c r="D3" s="34" t="s">
        <v>755</v>
      </c>
      <c r="E3" s="34" t="s">
        <v>763</v>
      </c>
      <c r="F3" s="33" t="s">
        <v>764</v>
      </c>
      <c r="G3" s="34" t="s">
        <v>476</v>
      </c>
      <c r="H3" s="34" t="s">
        <v>477</v>
      </c>
      <c r="I3" s="34" t="s">
        <v>478</v>
      </c>
      <c r="J3" s="33" t="s">
        <v>81</v>
      </c>
      <c r="K3" s="34" t="s">
        <v>194</v>
      </c>
      <c r="L3" s="34" t="s">
        <v>194</v>
      </c>
      <c r="M3" s="34" t="s">
        <v>479</v>
      </c>
      <c r="N3" s="33" t="s">
        <v>480</v>
      </c>
      <c r="O3" s="34" t="s">
        <v>756</v>
      </c>
      <c r="P3" s="33" t="s">
        <v>275</v>
      </c>
      <c r="Q3" s="34" t="s">
        <v>765</v>
      </c>
      <c r="R3" s="34" t="s">
        <v>766</v>
      </c>
      <c r="S3" s="34" t="s">
        <v>759</v>
      </c>
      <c r="T3" s="33" t="s">
        <v>279</v>
      </c>
      <c r="U3" s="33" t="s">
        <v>322</v>
      </c>
      <c r="V3" s="33"/>
      <c r="W3" s="33"/>
      <c r="X3" s="33"/>
      <c r="Y3" s="34"/>
      <c r="Z3" s="36" t="s">
        <v>97</v>
      </c>
      <c r="AA3" s="34" t="s">
        <v>767</v>
      </c>
      <c r="AB3" s="34" t="s">
        <v>300</v>
      </c>
      <c r="AC3" s="33" t="s">
        <v>108</v>
      </c>
      <c r="AD3" s="33" t="s">
        <v>335</v>
      </c>
      <c r="AE3" s="33" t="s">
        <v>203</v>
      </c>
      <c r="AF3" s="33" t="s">
        <v>206</v>
      </c>
      <c r="AG3" s="33" t="s">
        <v>203</v>
      </c>
      <c r="AH3" s="33" t="s">
        <v>203</v>
      </c>
      <c r="AI3" s="33" t="s">
        <v>207</v>
      </c>
      <c r="AJ3" s="33" t="s">
        <v>194</v>
      </c>
      <c r="AK3" s="33" t="s">
        <v>194</v>
      </c>
      <c r="AL3" s="33"/>
      <c r="AM3" s="33"/>
      <c r="AN3" s="33"/>
      <c r="AO3" s="33"/>
      <c r="AP3" s="33"/>
      <c r="AQ3" s="33"/>
      <c r="AR3" s="34" t="s">
        <v>480</v>
      </c>
      <c r="AS3" s="34" t="s">
        <v>486</v>
      </c>
      <c r="AT3" s="34" t="s">
        <v>487</v>
      </c>
      <c r="AU3" s="37" t="s">
        <v>81</v>
      </c>
      <c r="AV3" s="37" t="s">
        <v>103</v>
      </c>
      <c r="AW3" s="43" t="s">
        <v>97</v>
      </c>
      <c r="AX3" s="45" t="s">
        <v>90</v>
      </c>
      <c r="AY3" s="34" t="s">
        <v>768</v>
      </c>
    </row>
    <row r="4" customFormat="false" ht="30" hidden="false" customHeight="true" outlineLevel="0" collapsed="false">
      <c r="A4" s="39" t="n">
        <v>2</v>
      </c>
      <c r="B4" s="40" t="s">
        <v>762</v>
      </c>
      <c r="C4" s="40" t="s">
        <v>179</v>
      </c>
      <c r="D4" s="40" t="s">
        <v>179</v>
      </c>
      <c r="E4" s="40" t="s">
        <v>763</v>
      </c>
      <c r="F4" s="39" t="s">
        <v>764</v>
      </c>
      <c r="G4" s="40" t="s">
        <v>476</v>
      </c>
      <c r="H4" s="40" t="s">
        <v>477</v>
      </c>
      <c r="I4" s="40" t="s">
        <v>478</v>
      </c>
      <c r="J4" s="39" t="s">
        <v>81</v>
      </c>
      <c r="K4" s="40" t="s">
        <v>194</v>
      </c>
      <c r="L4" s="40" t="s">
        <v>194</v>
      </c>
      <c r="M4" s="40" t="s">
        <v>479</v>
      </c>
      <c r="N4" s="39" t="s">
        <v>480</v>
      </c>
      <c r="O4" s="40" t="s">
        <v>769</v>
      </c>
      <c r="P4" s="39" t="s">
        <v>275</v>
      </c>
      <c r="Q4" s="40" t="s">
        <v>770</v>
      </c>
      <c r="R4" s="40" t="s">
        <v>771</v>
      </c>
      <c r="S4" s="40" t="s">
        <v>179</v>
      </c>
      <c r="T4" s="39" t="s">
        <v>279</v>
      </c>
      <c r="U4" s="39" t="s">
        <v>322</v>
      </c>
      <c r="V4" s="39"/>
      <c r="W4" s="39"/>
      <c r="X4" s="39"/>
      <c r="Y4" s="40"/>
      <c r="Z4" s="35" t="s">
        <v>203</v>
      </c>
      <c r="AA4" s="40" t="s">
        <v>772</v>
      </c>
      <c r="AB4" s="40" t="s">
        <v>179</v>
      </c>
      <c r="AC4" s="39" t="s">
        <v>106</v>
      </c>
      <c r="AD4" s="39" t="s">
        <v>286</v>
      </c>
      <c r="AE4" s="39" t="s">
        <v>203</v>
      </c>
      <c r="AF4" s="39" t="s">
        <v>206</v>
      </c>
      <c r="AG4" s="39" t="s">
        <v>203</v>
      </c>
      <c r="AH4" s="39" t="s">
        <v>203</v>
      </c>
      <c r="AI4" s="39" t="s">
        <v>207</v>
      </c>
      <c r="AJ4" s="39" t="s">
        <v>194</v>
      </c>
      <c r="AK4" s="39" t="s">
        <v>194</v>
      </c>
      <c r="AL4" s="39"/>
      <c r="AM4" s="39"/>
      <c r="AN4" s="39"/>
      <c r="AO4" s="35" t="s">
        <v>208</v>
      </c>
      <c r="AP4" s="39"/>
      <c r="AQ4" s="39"/>
      <c r="AR4" s="40" t="s">
        <v>480</v>
      </c>
      <c r="AS4" s="40" t="s">
        <v>486</v>
      </c>
      <c r="AT4" s="40" t="s">
        <v>487</v>
      </c>
      <c r="AU4" s="37" t="s">
        <v>81</v>
      </c>
      <c r="AV4" s="37" t="s">
        <v>103</v>
      </c>
      <c r="AW4" s="43" t="s">
        <v>97</v>
      </c>
      <c r="AX4" s="44" t="s">
        <v>88</v>
      </c>
      <c r="AY4" s="40"/>
    </row>
    <row r="5" customFormat="false" ht="30" hidden="false" customHeight="true" outlineLevel="0" collapsed="false">
      <c r="A5" s="33" t="n">
        <v>3</v>
      </c>
      <c r="B5" s="34" t="s">
        <v>762</v>
      </c>
      <c r="C5" s="34" t="s">
        <v>403</v>
      </c>
      <c r="D5" s="34" t="s">
        <v>403</v>
      </c>
      <c r="E5" s="34" t="s">
        <v>763</v>
      </c>
      <c r="F5" s="33" t="s">
        <v>764</v>
      </c>
      <c r="G5" s="34" t="s">
        <v>476</v>
      </c>
      <c r="H5" s="34" t="s">
        <v>477</v>
      </c>
      <c r="I5" s="34" t="s">
        <v>478</v>
      </c>
      <c r="J5" s="33" t="s">
        <v>81</v>
      </c>
      <c r="K5" s="34" t="s">
        <v>194</v>
      </c>
      <c r="L5" s="34" t="s">
        <v>194</v>
      </c>
      <c r="M5" s="34" t="s">
        <v>479</v>
      </c>
      <c r="N5" s="33" t="s">
        <v>480</v>
      </c>
      <c r="O5" s="34" t="s">
        <v>465</v>
      </c>
      <c r="P5" s="33" t="s">
        <v>275</v>
      </c>
      <c r="Q5" s="34" t="s">
        <v>773</v>
      </c>
      <c r="R5" s="34" t="s">
        <v>774</v>
      </c>
      <c r="S5" s="34" t="s">
        <v>330</v>
      </c>
      <c r="T5" s="33" t="s">
        <v>331</v>
      </c>
      <c r="U5" s="33" t="s">
        <v>332</v>
      </c>
      <c r="V5" s="33"/>
      <c r="W5" s="33"/>
      <c r="X5" s="33"/>
      <c r="Y5" s="34" t="s">
        <v>468</v>
      </c>
      <c r="Z5" s="36" t="s">
        <v>97</v>
      </c>
      <c r="AA5" s="34" t="s">
        <v>469</v>
      </c>
      <c r="AB5" s="34" t="s">
        <v>410</v>
      </c>
      <c r="AC5" s="33" t="s">
        <v>108</v>
      </c>
      <c r="AD5" s="33" t="s">
        <v>335</v>
      </c>
      <c r="AE5" s="33" t="s">
        <v>203</v>
      </c>
      <c r="AF5" s="33" t="s">
        <v>206</v>
      </c>
      <c r="AG5" s="33" t="s">
        <v>203</v>
      </c>
      <c r="AH5" s="33" t="s">
        <v>203</v>
      </c>
      <c r="AI5" s="33" t="s">
        <v>203</v>
      </c>
      <c r="AJ5" s="33" t="s">
        <v>81</v>
      </c>
      <c r="AK5" s="33" t="s">
        <v>194</v>
      </c>
      <c r="AL5" s="35" t="s">
        <v>208</v>
      </c>
      <c r="AM5" s="33"/>
      <c r="AN5" s="33"/>
      <c r="AO5" s="33"/>
      <c r="AP5" s="35" t="s">
        <v>208</v>
      </c>
      <c r="AQ5" s="33"/>
      <c r="AR5" s="34" t="s">
        <v>480</v>
      </c>
      <c r="AS5" s="34" t="s">
        <v>486</v>
      </c>
      <c r="AT5" s="34" t="s">
        <v>487</v>
      </c>
      <c r="AU5" s="37" t="s">
        <v>81</v>
      </c>
      <c r="AV5" s="37" t="s">
        <v>103</v>
      </c>
      <c r="AW5" s="43" t="s">
        <v>97</v>
      </c>
      <c r="AX5" s="45" t="s">
        <v>90</v>
      </c>
      <c r="AY5" s="34"/>
    </row>
  </sheetData>
  <mergeCells count="1">
    <mergeCell ref="A1:A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8" min="18" style="0" width="34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1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22"/>
    <col collapsed="false" customWidth="true" hidden="false" outlineLevel="0" max="26" min="26" style="0" width="9"/>
    <col collapsed="false" customWidth="true" hidden="false" outlineLevel="0" max="27" min="27" style="0" width="30"/>
    <col collapsed="false" customWidth="true" hidden="false" outlineLevel="0" max="28" min="28" style="0" width="20"/>
    <col collapsed="false" customWidth="true" hidden="false" outlineLevel="0" max="29" min="29" style="0" width="13"/>
    <col collapsed="false" customWidth="true" hidden="false" outlineLevel="0" max="30" min="30" style="0" width="14"/>
    <col collapsed="false" customWidth="true" hidden="false" outlineLevel="0" max="31" min="31" style="0" width="9"/>
    <col collapsed="false" customWidth="true" hidden="false" outlineLevel="0" max="32" min="32" style="0" width="18"/>
    <col collapsed="false" customWidth="true" hidden="false" outlineLevel="0" max="33" min="33" style="0" width="9"/>
    <col collapsed="false" customWidth="true" hidden="false" outlineLevel="0" max="35" min="34" style="0" width="8"/>
    <col collapsed="false" customWidth="true" hidden="false" outlineLevel="0" max="37" min="36" style="0" width="11"/>
    <col collapsed="false" customWidth="true" hidden="false" outlineLevel="0" max="38" min="38" style="0" width="8"/>
    <col collapsed="false" customWidth="true" hidden="false" outlineLevel="0" max="39" min="39" style="0" width="6"/>
    <col collapsed="false" customWidth="true" hidden="false" outlineLevel="0" max="40" min="40" style="0" width="9"/>
    <col collapsed="false" customWidth="true" hidden="false" outlineLevel="0" max="41" min="41" style="0" width="8"/>
    <col collapsed="false" customWidth="true" hidden="false" outlineLevel="0" max="42" min="42" style="0" width="10"/>
    <col collapsed="false" customWidth="true" hidden="false" outlineLevel="0" max="43" min="43" style="0" width="7"/>
    <col collapsed="false" customWidth="true" hidden="false" outlineLevel="0" max="45" min="44" style="0" width="18"/>
    <col collapsed="false" customWidth="true" hidden="false" outlineLevel="0" max="47" min="46" style="0" width="22"/>
    <col collapsed="false" customWidth="true" hidden="false" outlineLevel="0" max="48" min="48" style="0" width="13"/>
    <col collapsed="false" customWidth="true" hidden="false" outlineLevel="0" max="49" min="49" style="0" width="11"/>
    <col collapsed="false" customWidth="true" hidden="false" outlineLevel="0" max="50" min="50" style="0" width="9"/>
    <col collapsed="false" customWidth="true" hidden="false" outlineLevel="0" max="51" min="51" style="0" width="40"/>
  </cols>
  <sheetData>
    <row r="1" customFormat="false" ht="21.75" hidden="false" customHeight="true" outlineLevel="0" collapsed="false">
      <c r="A1" s="31" t="s">
        <v>775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</row>
    <row r="2" customFormat="false" ht="19.4" hidden="false" customHeight="false" outlineLevel="0" collapsed="false">
      <c r="A2" s="32" t="s">
        <v>140</v>
      </c>
      <c r="B2" s="32" t="s">
        <v>141</v>
      </c>
      <c r="C2" s="32" t="s">
        <v>142</v>
      </c>
      <c r="D2" s="32" t="s">
        <v>143</v>
      </c>
      <c r="E2" s="32" t="s">
        <v>144</v>
      </c>
      <c r="F2" s="32" t="s">
        <v>145</v>
      </c>
      <c r="G2" s="32" t="s">
        <v>146</v>
      </c>
      <c r="H2" s="32" t="s">
        <v>147</v>
      </c>
      <c r="I2" s="32" t="s">
        <v>148</v>
      </c>
      <c r="J2" s="32" t="s">
        <v>149</v>
      </c>
      <c r="K2" s="32" t="s">
        <v>150</v>
      </c>
      <c r="L2" s="32" t="s">
        <v>151</v>
      </c>
      <c r="M2" s="32" t="s">
        <v>152</v>
      </c>
      <c r="N2" s="32" t="s">
        <v>153</v>
      </c>
      <c r="O2" s="32" t="s">
        <v>154</v>
      </c>
      <c r="P2" s="32" t="s">
        <v>155</v>
      </c>
      <c r="Q2" s="32" t="s">
        <v>156</v>
      </c>
      <c r="R2" s="32" t="s">
        <v>157</v>
      </c>
      <c r="S2" s="32" t="s">
        <v>117</v>
      </c>
      <c r="T2" s="32" t="s">
        <v>158</v>
      </c>
      <c r="U2" s="32" t="s">
        <v>159</v>
      </c>
      <c r="V2" s="32" t="s">
        <v>160</v>
      </c>
      <c r="W2" s="32" t="s">
        <v>161</v>
      </c>
      <c r="X2" s="32" t="s">
        <v>162</v>
      </c>
      <c r="Y2" s="32" t="s">
        <v>163</v>
      </c>
      <c r="Z2" s="32" t="s">
        <v>164</v>
      </c>
      <c r="AA2" s="32" t="s">
        <v>165</v>
      </c>
      <c r="AB2" s="32" t="s">
        <v>166</v>
      </c>
      <c r="AC2" s="32" t="s">
        <v>167</v>
      </c>
      <c r="AD2" s="32" t="s">
        <v>168</v>
      </c>
      <c r="AE2" s="32" t="s">
        <v>169</v>
      </c>
      <c r="AF2" s="32" t="s">
        <v>170</v>
      </c>
      <c r="AG2" s="32" t="s">
        <v>171</v>
      </c>
      <c r="AH2" s="32" t="s">
        <v>172</v>
      </c>
      <c r="AI2" s="32" t="s">
        <v>173</v>
      </c>
      <c r="AJ2" s="32" t="s">
        <v>174</v>
      </c>
      <c r="AK2" s="32" t="s">
        <v>175</v>
      </c>
      <c r="AL2" s="32" t="s">
        <v>176</v>
      </c>
      <c r="AM2" s="32" t="s">
        <v>177</v>
      </c>
      <c r="AN2" s="32" t="s">
        <v>178</v>
      </c>
      <c r="AO2" s="32" t="s">
        <v>179</v>
      </c>
      <c r="AP2" s="32" t="s">
        <v>180</v>
      </c>
      <c r="AQ2" s="32" t="s">
        <v>181</v>
      </c>
      <c r="AR2" s="32" t="s">
        <v>182</v>
      </c>
      <c r="AS2" s="32" t="s">
        <v>183</v>
      </c>
      <c r="AT2" s="32" t="s">
        <v>184</v>
      </c>
      <c r="AU2" s="32" t="s">
        <v>185</v>
      </c>
      <c r="AV2" s="32" t="s">
        <v>186</v>
      </c>
      <c r="AW2" s="32" t="s">
        <v>187</v>
      </c>
      <c r="AX2" s="32" t="s">
        <v>188</v>
      </c>
      <c r="AY2" s="32" t="s">
        <v>189</v>
      </c>
    </row>
    <row r="3" customFormat="false" ht="30" hidden="false" customHeight="true" outlineLevel="0" collapsed="false">
      <c r="A3" s="33" t="n">
        <v>1</v>
      </c>
      <c r="B3" s="34" t="s">
        <v>776</v>
      </c>
      <c r="C3" s="34" t="s">
        <v>777</v>
      </c>
      <c r="D3" s="34" t="s">
        <v>777</v>
      </c>
      <c r="E3" s="34" t="s">
        <v>778</v>
      </c>
      <c r="F3" s="33" t="s">
        <v>779</v>
      </c>
      <c r="G3" s="34" t="s">
        <v>780</v>
      </c>
      <c r="H3" s="34" t="s">
        <v>781</v>
      </c>
      <c r="I3" s="34" t="s">
        <v>782</v>
      </c>
      <c r="J3" s="33" t="s">
        <v>81</v>
      </c>
      <c r="K3" s="34" t="s">
        <v>194</v>
      </c>
      <c r="L3" s="34" t="s">
        <v>194</v>
      </c>
      <c r="M3" s="34" t="s">
        <v>783</v>
      </c>
      <c r="N3" s="33" t="s">
        <v>363</v>
      </c>
      <c r="O3" s="34" t="s">
        <v>784</v>
      </c>
      <c r="P3" s="33" t="s">
        <v>275</v>
      </c>
      <c r="Q3" s="34" t="s">
        <v>785</v>
      </c>
      <c r="R3" s="34" t="s">
        <v>786</v>
      </c>
      <c r="S3" s="34" t="s">
        <v>511</v>
      </c>
      <c r="T3" s="33" t="s">
        <v>279</v>
      </c>
      <c r="U3" s="33" t="s">
        <v>322</v>
      </c>
      <c r="V3" s="33"/>
      <c r="W3" s="33"/>
      <c r="X3" s="33"/>
      <c r="Y3" s="34"/>
      <c r="Z3" s="35" t="s">
        <v>203</v>
      </c>
      <c r="AA3" s="34" t="s">
        <v>787</v>
      </c>
      <c r="AB3" s="34" t="s">
        <v>788</v>
      </c>
      <c r="AC3" s="33" t="s">
        <v>108</v>
      </c>
      <c r="AD3" s="33" t="s">
        <v>335</v>
      </c>
      <c r="AE3" s="33" t="s">
        <v>203</v>
      </c>
      <c r="AF3" s="33" t="s">
        <v>206</v>
      </c>
      <c r="AG3" s="33" t="s">
        <v>203</v>
      </c>
      <c r="AH3" s="33" t="s">
        <v>203</v>
      </c>
      <c r="AI3" s="33" t="s">
        <v>207</v>
      </c>
      <c r="AJ3" s="33" t="s">
        <v>194</v>
      </c>
      <c r="AK3" s="33" t="s">
        <v>194</v>
      </c>
      <c r="AL3" s="33"/>
      <c r="AM3" s="33"/>
      <c r="AN3" s="35" t="s">
        <v>208</v>
      </c>
      <c r="AO3" s="35" t="s">
        <v>208</v>
      </c>
      <c r="AP3" s="33"/>
      <c r="AQ3" s="33"/>
      <c r="AR3" s="34" t="s">
        <v>363</v>
      </c>
      <c r="AS3" s="34" t="s">
        <v>789</v>
      </c>
      <c r="AT3" s="34" t="s">
        <v>790</v>
      </c>
      <c r="AU3" s="36" t="s">
        <v>67</v>
      </c>
      <c r="AV3" s="33" t="s">
        <v>81</v>
      </c>
      <c r="AW3" s="36" t="s">
        <v>95</v>
      </c>
      <c r="AX3" s="42" t="s">
        <v>86</v>
      </c>
      <c r="AY3" s="34" t="s">
        <v>791</v>
      </c>
    </row>
    <row r="4" customFormat="false" ht="30" hidden="false" customHeight="true" outlineLevel="0" collapsed="false">
      <c r="A4" s="39" t="n">
        <v>2</v>
      </c>
      <c r="B4" s="40" t="s">
        <v>776</v>
      </c>
      <c r="C4" s="40" t="s">
        <v>777</v>
      </c>
      <c r="D4" s="40" t="s">
        <v>777</v>
      </c>
      <c r="E4" s="40" t="s">
        <v>778</v>
      </c>
      <c r="F4" s="39" t="s">
        <v>779</v>
      </c>
      <c r="G4" s="40" t="s">
        <v>780</v>
      </c>
      <c r="H4" s="40" t="s">
        <v>781</v>
      </c>
      <c r="I4" s="40" t="s">
        <v>782</v>
      </c>
      <c r="J4" s="39" t="s">
        <v>81</v>
      </c>
      <c r="K4" s="40" t="s">
        <v>194</v>
      </c>
      <c r="L4" s="40" t="s">
        <v>194</v>
      </c>
      <c r="M4" s="40" t="s">
        <v>783</v>
      </c>
      <c r="N4" s="39" t="s">
        <v>363</v>
      </c>
      <c r="O4" s="40" t="s">
        <v>792</v>
      </c>
      <c r="P4" s="39" t="s">
        <v>275</v>
      </c>
      <c r="Q4" s="40" t="s">
        <v>793</v>
      </c>
      <c r="R4" s="40" t="s">
        <v>794</v>
      </c>
      <c r="S4" s="40" t="s">
        <v>179</v>
      </c>
      <c r="T4" s="39" t="s">
        <v>279</v>
      </c>
      <c r="U4" s="39" t="s">
        <v>322</v>
      </c>
      <c r="V4" s="39"/>
      <c r="W4" s="39"/>
      <c r="X4" s="39"/>
      <c r="Y4" s="40" t="s">
        <v>749</v>
      </c>
      <c r="Z4" s="35" t="s">
        <v>203</v>
      </c>
      <c r="AA4" s="40" t="s">
        <v>795</v>
      </c>
      <c r="AB4" s="40" t="s">
        <v>179</v>
      </c>
      <c r="AC4" s="39" t="s">
        <v>108</v>
      </c>
      <c r="AD4" s="39" t="s">
        <v>796</v>
      </c>
      <c r="AE4" s="39" t="s">
        <v>203</v>
      </c>
      <c r="AF4" s="39" t="s">
        <v>206</v>
      </c>
      <c r="AG4" s="39" t="s">
        <v>203</v>
      </c>
      <c r="AH4" s="39" t="s">
        <v>203</v>
      </c>
      <c r="AI4" s="39" t="s">
        <v>207</v>
      </c>
      <c r="AJ4" s="39" t="s">
        <v>194</v>
      </c>
      <c r="AK4" s="39" t="s">
        <v>194</v>
      </c>
      <c r="AL4" s="39"/>
      <c r="AM4" s="39"/>
      <c r="AN4" s="39"/>
      <c r="AO4" s="35" t="s">
        <v>208</v>
      </c>
      <c r="AP4" s="39"/>
      <c r="AQ4" s="39"/>
      <c r="AR4" s="40" t="s">
        <v>363</v>
      </c>
      <c r="AS4" s="40" t="s">
        <v>789</v>
      </c>
      <c r="AT4" s="40" t="s">
        <v>790</v>
      </c>
      <c r="AU4" s="36" t="s">
        <v>67</v>
      </c>
      <c r="AV4" s="33" t="s">
        <v>81</v>
      </c>
      <c r="AW4" s="36" t="s">
        <v>95</v>
      </c>
      <c r="AX4" s="42" t="s">
        <v>86</v>
      </c>
      <c r="AY4" s="40"/>
    </row>
    <row r="5" customFormat="false" ht="30" hidden="false" customHeight="true" outlineLevel="0" collapsed="false">
      <c r="A5" s="33" t="n">
        <v>3</v>
      </c>
      <c r="B5" s="34" t="s">
        <v>776</v>
      </c>
      <c r="C5" s="34" t="s">
        <v>777</v>
      </c>
      <c r="D5" s="34" t="s">
        <v>777</v>
      </c>
      <c r="E5" s="34" t="s">
        <v>778</v>
      </c>
      <c r="F5" s="33" t="s">
        <v>779</v>
      </c>
      <c r="G5" s="34" t="s">
        <v>780</v>
      </c>
      <c r="H5" s="34" t="s">
        <v>781</v>
      </c>
      <c r="I5" s="34" t="s">
        <v>782</v>
      </c>
      <c r="J5" s="33" t="s">
        <v>81</v>
      </c>
      <c r="K5" s="34" t="s">
        <v>194</v>
      </c>
      <c r="L5" s="34" t="s">
        <v>194</v>
      </c>
      <c r="M5" s="34" t="s">
        <v>783</v>
      </c>
      <c r="N5" s="33" t="s">
        <v>363</v>
      </c>
      <c r="O5" s="34" t="s">
        <v>797</v>
      </c>
      <c r="P5" s="33" t="s">
        <v>275</v>
      </c>
      <c r="Q5" s="34" t="s">
        <v>798</v>
      </c>
      <c r="R5" s="34" t="s">
        <v>799</v>
      </c>
      <c r="S5" s="34" t="s">
        <v>295</v>
      </c>
      <c r="T5" s="33" t="s">
        <v>533</v>
      </c>
      <c r="U5" s="33" t="s">
        <v>800</v>
      </c>
      <c r="V5" s="33"/>
      <c r="W5" s="33"/>
      <c r="X5" s="33"/>
      <c r="Y5" s="34"/>
      <c r="Z5" s="36" t="s">
        <v>97</v>
      </c>
      <c r="AA5" s="34" t="s">
        <v>801</v>
      </c>
      <c r="AB5" s="34" t="s">
        <v>300</v>
      </c>
      <c r="AC5" s="33" t="s">
        <v>106</v>
      </c>
      <c r="AD5" s="33" t="s">
        <v>286</v>
      </c>
      <c r="AE5" s="33" t="s">
        <v>203</v>
      </c>
      <c r="AF5" s="33" t="s">
        <v>206</v>
      </c>
      <c r="AG5" s="33" t="s">
        <v>203</v>
      </c>
      <c r="AH5" s="33" t="s">
        <v>203</v>
      </c>
      <c r="AI5" s="33" t="s">
        <v>207</v>
      </c>
      <c r="AJ5" s="33" t="s">
        <v>194</v>
      </c>
      <c r="AK5" s="33" t="s">
        <v>194</v>
      </c>
      <c r="AL5" s="33"/>
      <c r="AM5" s="33"/>
      <c r="AN5" s="33"/>
      <c r="AO5" s="33"/>
      <c r="AP5" s="33"/>
      <c r="AQ5" s="33"/>
      <c r="AR5" s="34" t="s">
        <v>363</v>
      </c>
      <c r="AS5" s="34" t="s">
        <v>789</v>
      </c>
      <c r="AT5" s="34" t="s">
        <v>790</v>
      </c>
      <c r="AU5" s="36" t="s">
        <v>67</v>
      </c>
      <c r="AV5" s="33" t="s">
        <v>81</v>
      </c>
      <c r="AW5" s="43" t="s">
        <v>97</v>
      </c>
      <c r="AX5" s="45" t="s">
        <v>90</v>
      </c>
      <c r="AY5" s="34"/>
    </row>
    <row r="6" customFormat="false" ht="30" hidden="false" customHeight="true" outlineLevel="0" collapsed="false">
      <c r="A6" s="39" t="n">
        <v>4</v>
      </c>
      <c r="B6" s="40" t="s">
        <v>776</v>
      </c>
      <c r="C6" s="40" t="s">
        <v>529</v>
      </c>
      <c r="D6" s="40" t="s">
        <v>529</v>
      </c>
      <c r="E6" s="40" t="s">
        <v>778</v>
      </c>
      <c r="F6" s="39" t="s">
        <v>779</v>
      </c>
      <c r="G6" s="40" t="s">
        <v>780</v>
      </c>
      <c r="H6" s="40" t="s">
        <v>781</v>
      </c>
      <c r="I6" s="40" t="s">
        <v>782</v>
      </c>
      <c r="J6" s="39" t="s">
        <v>81</v>
      </c>
      <c r="K6" s="40" t="s">
        <v>194</v>
      </c>
      <c r="L6" s="40" t="s">
        <v>194</v>
      </c>
      <c r="M6" s="40" t="s">
        <v>783</v>
      </c>
      <c r="N6" s="39" t="s">
        <v>363</v>
      </c>
      <c r="O6" s="40" t="s">
        <v>802</v>
      </c>
      <c r="P6" s="39" t="s">
        <v>275</v>
      </c>
      <c r="Q6" s="40" t="s">
        <v>803</v>
      </c>
      <c r="R6" s="40" t="s">
        <v>804</v>
      </c>
      <c r="S6" s="40" t="s">
        <v>805</v>
      </c>
      <c r="T6" s="39" t="s">
        <v>533</v>
      </c>
      <c r="U6" s="39" t="s">
        <v>534</v>
      </c>
      <c r="V6" s="39"/>
      <c r="W6" s="39"/>
      <c r="X6" s="39"/>
      <c r="Y6" s="40"/>
      <c r="Z6" s="35" t="s">
        <v>203</v>
      </c>
      <c r="AA6" s="40" t="s">
        <v>806</v>
      </c>
      <c r="AB6" s="40" t="s">
        <v>807</v>
      </c>
      <c r="AC6" s="39" t="s">
        <v>108</v>
      </c>
      <c r="AD6" s="39" t="s">
        <v>335</v>
      </c>
      <c r="AE6" s="39" t="s">
        <v>203</v>
      </c>
      <c r="AF6" s="39" t="s">
        <v>206</v>
      </c>
      <c r="AG6" s="39" t="s">
        <v>203</v>
      </c>
      <c r="AH6" s="39" t="s">
        <v>203</v>
      </c>
      <c r="AI6" s="39" t="s">
        <v>207</v>
      </c>
      <c r="AJ6" s="39" t="s">
        <v>194</v>
      </c>
      <c r="AK6" s="39" t="s">
        <v>194</v>
      </c>
      <c r="AL6" s="39"/>
      <c r="AM6" s="35" t="s">
        <v>208</v>
      </c>
      <c r="AN6" s="39"/>
      <c r="AO6" s="39"/>
      <c r="AP6" s="35" t="s">
        <v>208</v>
      </c>
      <c r="AQ6" s="39"/>
      <c r="AR6" s="40" t="s">
        <v>363</v>
      </c>
      <c r="AS6" s="40" t="s">
        <v>789</v>
      </c>
      <c r="AT6" s="40" t="s">
        <v>790</v>
      </c>
      <c r="AU6" s="36" t="s">
        <v>67</v>
      </c>
      <c r="AV6" s="33" t="s">
        <v>81</v>
      </c>
      <c r="AW6" s="36" t="s">
        <v>95</v>
      </c>
      <c r="AX6" s="42" t="s">
        <v>86</v>
      </c>
      <c r="AY6" s="40"/>
    </row>
    <row r="7" customFormat="false" ht="30" hidden="false" customHeight="true" outlineLevel="0" collapsed="false">
      <c r="A7" s="33" t="n">
        <v>5</v>
      </c>
      <c r="B7" s="34" t="s">
        <v>776</v>
      </c>
      <c r="C7" s="34" t="s">
        <v>529</v>
      </c>
      <c r="D7" s="34" t="s">
        <v>529</v>
      </c>
      <c r="E7" s="34" t="s">
        <v>778</v>
      </c>
      <c r="F7" s="33" t="s">
        <v>779</v>
      </c>
      <c r="G7" s="34" t="s">
        <v>780</v>
      </c>
      <c r="H7" s="34" t="s">
        <v>781</v>
      </c>
      <c r="I7" s="34" t="s">
        <v>782</v>
      </c>
      <c r="J7" s="33" t="s">
        <v>81</v>
      </c>
      <c r="K7" s="34" t="s">
        <v>194</v>
      </c>
      <c r="L7" s="34" t="s">
        <v>194</v>
      </c>
      <c r="M7" s="34" t="s">
        <v>783</v>
      </c>
      <c r="N7" s="33" t="s">
        <v>363</v>
      </c>
      <c r="O7" s="34" t="s">
        <v>808</v>
      </c>
      <c r="P7" s="33" t="s">
        <v>275</v>
      </c>
      <c r="Q7" s="34" t="s">
        <v>809</v>
      </c>
      <c r="R7" s="34" t="s">
        <v>810</v>
      </c>
      <c r="S7" s="34" t="s">
        <v>178</v>
      </c>
      <c r="T7" s="33" t="s">
        <v>533</v>
      </c>
      <c r="U7" s="33" t="s">
        <v>534</v>
      </c>
      <c r="V7" s="33"/>
      <c r="W7" s="33" t="s">
        <v>282</v>
      </c>
      <c r="X7" s="33"/>
      <c r="Y7" s="34"/>
      <c r="Z7" s="35" t="s">
        <v>203</v>
      </c>
      <c r="AA7" s="34" t="s">
        <v>811</v>
      </c>
      <c r="AB7" s="34" t="s">
        <v>285</v>
      </c>
      <c r="AC7" s="33" t="s">
        <v>108</v>
      </c>
      <c r="AD7" s="33" t="s">
        <v>335</v>
      </c>
      <c r="AE7" s="33" t="s">
        <v>203</v>
      </c>
      <c r="AF7" s="33" t="s">
        <v>206</v>
      </c>
      <c r="AG7" s="33" t="s">
        <v>203</v>
      </c>
      <c r="AH7" s="33" t="s">
        <v>203</v>
      </c>
      <c r="AI7" s="33" t="s">
        <v>207</v>
      </c>
      <c r="AJ7" s="33" t="s">
        <v>194</v>
      </c>
      <c r="AK7" s="33" t="s">
        <v>194</v>
      </c>
      <c r="AL7" s="33"/>
      <c r="AM7" s="35" t="s">
        <v>208</v>
      </c>
      <c r="AN7" s="35" t="s">
        <v>208</v>
      </c>
      <c r="AO7" s="33"/>
      <c r="AP7" s="33"/>
      <c r="AQ7" s="33"/>
      <c r="AR7" s="34" t="s">
        <v>363</v>
      </c>
      <c r="AS7" s="34" t="s">
        <v>789</v>
      </c>
      <c r="AT7" s="34" t="s">
        <v>790</v>
      </c>
      <c r="AU7" s="36" t="s">
        <v>67</v>
      </c>
      <c r="AV7" s="33" t="s">
        <v>81</v>
      </c>
      <c r="AW7" s="37" t="s">
        <v>93</v>
      </c>
      <c r="AX7" s="38" t="s">
        <v>84</v>
      </c>
      <c r="AY7" s="34" t="s">
        <v>812</v>
      </c>
    </row>
    <row r="8" customFormat="false" ht="30" hidden="false" customHeight="true" outlineLevel="0" collapsed="false">
      <c r="A8" s="39" t="n">
        <v>6</v>
      </c>
      <c r="B8" s="40" t="s">
        <v>776</v>
      </c>
      <c r="C8" s="40" t="s">
        <v>529</v>
      </c>
      <c r="D8" s="40" t="s">
        <v>529</v>
      </c>
      <c r="E8" s="40" t="s">
        <v>778</v>
      </c>
      <c r="F8" s="39" t="s">
        <v>779</v>
      </c>
      <c r="G8" s="40" t="s">
        <v>780</v>
      </c>
      <c r="H8" s="40" t="s">
        <v>781</v>
      </c>
      <c r="I8" s="40" t="s">
        <v>782</v>
      </c>
      <c r="J8" s="39" t="s">
        <v>81</v>
      </c>
      <c r="K8" s="40" t="s">
        <v>194</v>
      </c>
      <c r="L8" s="40" t="s">
        <v>194</v>
      </c>
      <c r="M8" s="40" t="s">
        <v>783</v>
      </c>
      <c r="N8" s="39" t="s">
        <v>363</v>
      </c>
      <c r="O8" s="40" t="s">
        <v>813</v>
      </c>
      <c r="P8" s="39" t="s">
        <v>275</v>
      </c>
      <c r="Q8" s="40" t="s">
        <v>814</v>
      </c>
      <c r="R8" s="40" t="s">
        <v>815</v>
      </c>
      <c r="S8" s="40" t="s">
        <v>179</v>
      </c>
      <c r="T8" s="39" t="s">
        <v>533</v>
      </c>
      <c r="U8" s="39" t="s">
        <v>534</v>
      </c>
      <c r="V8" s="39"/>
      <c r="W8" s="39"/>
      <c r="X8" s="39"/>
      <c r="Y8" s="40"/>
      <c r="Z8" s="35" t="s">
        <v>203</v>
      </c>
      <c r="AA8" s="40" t="s">
        <v>816</v>
      </c>
      <c r="AB8" s="40" t="s">
        <v>817</v>
      </c>
      <c r="AC8" s="39" t="s">
        <v>108</v>
      </c>
      <c r="AD8" s="39" t="s">
        <v>335</v>
      </c>
      <c r="AE8" s="39" t="s">
        <v>203</v>
      </c>
      <c r="AF8" s="39" t="s">
        <v>206</v>
      </c>
      <c r="AG8" s="39" t="s">
        <v>203</v>
      </c>
      <c r="AH8" s="39" t="s">
        <v>203</v>
      </c>
      <c r="AI8" s="39" t="s">
        <v>207</v>
      </c>
      <c r="AJ8" s="39" t="s">
        <v>194</v>
      </c>
      <c r="AK8" s="39" t="s">
        <v>194</v>
      </c>
      <c r="AL8" s="39"/>
      <c r="AM8" s="35" t="s">
        <v>208</v>
      </c>
      <c r="AN8" s="39"/>
      <c r="AO8" s="35" t="s">
        <v>208</v>
      </c>
      <c r="AP8" s="39"/>
      <c r="AQ8" s="39"/>
      <c r="AR8" s="40" t="s">
        <v>363</v>
      </c>
      <c r="AS8" s="40" t="s">
        <v>789</v>
      </c>
      <c r="AT8" s="40" t="s">
        <v>790</v>
      </c>
      <c r="AU8" s="36" t="s">
        <v>67</v>
      </c>
      <c r="AV8" s="33" t="s">
        <v>81</v>
      </c>
      <c r="AW8" s="36" t="s">
        <v>95</v>
      </c>
      <c r="AX8" s="42" t="s">
        <v>86</v>
      </c>
      <c r="AY8" s="40"/>
    </row>
    <row r="9" customFormat="false" ht="30" hidden="false" customHeight="true" outlineLevel="0" collapsed="false">
      <c r="A9" s="33" t="n">
        <v>7</v>
      </c>
      <c r="B9" s="34" t="s">
        <v>776</v>
      </c>
      <c r="C9" s="34" t="s">
        <v>403</v>
      </c>
      <c r="D9" s="34" t="s">
        <v>403</v>
      </c>
      <c r="E9" s="34" t="s">
        <v>778</v>
      </c>
      <c r="F9" s="33" t="s">
        <v>779</v>
      </c>
      <c r="G9" s="34" t="s">
        <v>780</v>
      </c>
      <c r="H9" s="34" t="s">
        <v>781</v>
      </c>
      <c r="I9" s="34" t="s">
        <v>782</v>
      </c>
      <c r="J9" s="33" t="s">
        <v>81</v>
      </c>
      <c r="K9" s="34" t="s">
        <v>194</v>
      </c>
      <c r="L9" s="34" t="s">
        <v>194</v>
      </c>
      <c r="M9" s="34" t="s">
        <v>783</v>
      </c>
      <c r="N9" s="33" t="s">
        <v>363</v>
      </c>
      <c r="O9" s="34" t="s">
        <v>818</v>
      </c>
      <c r="P9" s="33" t="s">
        <v>275</v>
      </c>
      <c r="Q9" s="34" t="s">
        <v>819</v>
      </c>
      <c r="R9" s="34" t="s">
        <v>820</v>
      </c>
      <c r="S9" s="34" t="s">
        <v>330</v>
      </c>
      <c r="T9" s="33" t="s">
        <v>520</v>
      </c>
      <c r="U9" s="33" t="s">
        <v>194</v>
      </c>
      <c r="V9" s="33"/>
      <c r="W9" s="33"/>
      <c r="X9" s="33"/>
      <c r="Y9" s="34" t="s">
        <v>821</v>
      </c>
      <c r="Z9" s="36" t="s">
        <v>97</v>
      </c>
      <c r="AA9" s="34" t="s">
        <v>822</v>
      </c>
      <c r="AB9" s="34" t="s">
        <v>523</v>
      </c>
      <c r="AC9" s="33" t="s">
        <v>108</v>
      </c>
      <c r="AD9" s="33" t="s">
        <v>335</v>
      </c>
      <c r="AE9" s="33" t="s">
        <v>203</v>
      </c>
      <c r="AF9" s="33" t="s">
        <v>206</v>
      </c>
      <c r="AG9" s="33" t="s">
        <v>203</v>
      </c>
      <c r="AH9" s="33" t="s">
        <v>203</v>
      </c>
      <c r="AI9" s="33" t="s">
        <v>207</v>
      </c>
      <c r="AJ9" s="33" t="s">
        <v>194</v>
      </c>
      <c r="AK9" s="33" t="s">
        <v>194</v>
      </c>
      <c r="AL9" s="35" t="s">
        <v>208</v>
      </c>
      <c r="AM9" s="35" t="s">
        <v>208</v>
      </c>
      <c r="AN9" s="33"/>
      <c r="AO9" s="33"/>
      <c r="AP9" s="33"/>
      <c r="AQ9" s="33"/>
      <c r="AR9" s="34" t="s">
        <v>363</v>
      </c>
      <c r="AS9" s="34" t="s">
        <v>789</v>
      </c>
      <c r="AT9" s="34" t="s">
        <v>790</v>
      </c>
      <c r="AU9" s="36" t="s">
        <v>67</v>
      </c>
      <c r="AV9" s="33" t="s">
        <v>81</v>
      </c>
      <c r="AW9" s="43" t="s">
        <v>97</v>
      </c>
      <c r="AX9" s="44" t="s">
        <v>88</v>
      </c>
      <c r="AY9" s="34"/>
    </row>
  </sheetData>
  <mergeCells count="1">
    <mergeCell ref="A1:A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8" min="18" style="0" width="34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1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22"/>
    <col collapsed="false" customWidth="true" hidden="false" outlineLevel="0" max="26" min="26" style="0" width="9"/>
    <col collapsed="false" customWidth="true" hidden="false" outlineLevel="0" max="27" min="27" style="0" width="30"/>
    <col collapsed="false" customWidth="true" hidden="false" outlineLevel="0" max="28" min="28" style="0" width="20"/>
    <col collapsed="false" customWidth="true" hidden="false" outlineLevel="0" max="29" min="29" style="0" width="13"/>
    <col collapsed="false" customWidth="true" hidden="false" outlineLevel="0" max="30" min="30" style="0" width="14"/>
    <col collapsed="false" customWidth="true" hidden="false" outlineLevel="0" max="31" min="31" style="0" width="9"/>
    <col collapsed="false" customWidth="true" hidden="false" outlineLevel="0" max="32" min="32" style="0" width="18"/>
    <col collapsed="false" customWidth="true" hidden="false" outlineLevel="0" max="33" min="33" style="0" width="9"/>
    <col collapsed="false" customWidth="true" hidden="false" outlineLevel="0" max="35" min="34" style="0" width="8"/>
    <col collapsed="false" customWidth="true" hidden="false" outlineLevel="0" max="37" min="36" style="0" width="11"/>
    <col collapsed="false" customWidth="true" hidden="false" outlineLevel="0" max="38" min="38" style="0" width="8"/>
    <col collapsed="false" customWidth="true" hidden="false" outlineLevel="0" max="39" min="39" style="0" width="6"/>
    <col collapsed="false" customWidth="true" hidden="false" outlineLevel="0" max="40" min="40" style="0" width="9"/>
    <col collapsed="false" customWidth="true" hidden="false" outlineLevel="0" max="41" min="41" style="0" width="8"/>
    <col collapsed="false" customWidth="true" hidden="false" outlineLevel="0" max="42" min="42" style="0" width="10"/>
    <col collapsed="false" customWidth="true" hidden="false" outlineLevel="0" max="43" min="43" style="0" width="7"/>
    <col collapsed="false" customWidth="true" hidden="false" outlineLevel="0" max="45" min="44" style="0" width="18"/>
    <col collapsed="false" customWidth="true" hidden="false" outlineLevel="0" max="47" min="46" style="0" width="22"/>
    <col collapsed="false" customWidth="true" hidden="false" outlineLevel="0" max="48" min="48" style="0" width="13"/>
    <col collapsed="false" customWidth="true" hidden="false" outlineLevel="0" max="49" min="49" style="0" width="11"/>
    <col collapsed="false" customWidth="true" hidden="false" outlineLevel="0" max="50" min="50" style="0" width="9"/>
    <col collapsed="false" customWidth="true" hidden="false" outlineLevel="0" max="51" min="51" style="0" width="40"/>
  </cols>
  <sheetData>
    <row r="1" customFormat="false" ht="21.75" hidden="false" customHeight="true" outlineLevel="0" collapsed="false">
      <c r="A1" s="31" t="s">
        <v>823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</row>
    <row r="2" customFormat="false" ht="19.4" hidden="false" customHeight="false" outlineLevel="0" collapsed="false">
      <c r="A2" s="32" t="s">
        <v>140</v>
      </c>
      <c r="B2" s="32" t="s">
        <v>141</v>
      </c>
      <c r="C2" s="32" t="s">
        <v>142</v>
      </c>
      <c r="D2" s="32" t="s">
        <v>143</v>
      </c>
      <c r="E2" s="32" t="s">
        <v>144</v>
      </c>
      <c r="F2" s="32" t="s">
        <v>145</v>
      </c>
      <c r="G2" s="32" t="s">
        <v>146</v>
      </c>
      <c r="H2" s="32" t="s">
        <v>147</v>
      </c>
      <c r="I2" s="32" t="s">
        <v>148</v>
      </c>
      <c r="J2" s="32" t="s">
        <v>149</v>
      </c>
      <c r="K2" s="32" t="s">
        <v>150</v>
      </c>
      <c r="L2" s="32" t="s">
        <v>151</v>
      </c>
      <c r="M2" s="32" t="s">
        <v>152</v>
      </c>
      <c r="N2" s="32" t="s">
        <v>153</v>
      </c>
      <c r="O2" s="32" t="s">
        <v>154</v>
      </c>
      <c r="P2" s="32" t="s">
        <v>155</v>
      </c>
      <c r="Q2" s="32" t="s">
        <v>156</v>
      </c>
      <c r="R2" s="32" t="s">
        <v>157</v>
      </c>
      <c r="S2" s="32" t="s">
        <v>117</v>
      </c>
      <c r="T2" s="32" t="s">
        <v>158</v>
      </c>
      <c r="U2" s="32" t="s">
        <v>159</v>
      </c>
      <c r="V2" s="32" t="s">
        <v>160</v>
      </c>
      <c r="W2" s="32" t="s">
        <v>161</v>
      </c>
      <c r="X2" s="32" t="s">
        <v>162</v>
      </c>
      <c r="Y2" s="32" t="s">
        <v>163</v>
      </c>
      <c r="Z2" s="32" t="s">
        <v>164</v>
      </c>
      <c r="AA2" s="32" t="s">
        <v>165</v>
      </c>
      <c r="AB2" s="32" t="s">
        <v>166</v>
      </c>
      <c r="AC2" s="32" t="s">
        <v>167</v>
      </c>
      <c r="AD2" s="32" t="s">
        <v>168</v>
      </c>
      <c r="AE2" s="32" t="s">
        <v>169</v>
      </c>
      <c r="AF2" s="32" t="s">
        <v>170</v>
      </c>
      <c r="AG2" s="32" t="s">
        <v>171</v>
      </c>
      <c r="AH2" s="32" t="s">
        <v>172</v>
      </c>
      <c r="AI2" s="32" t="s">
        <v>173</v>
      </c>
      <c r="AJ2" s="32" t="s">
        <v>174</v>
      </c>
      <c r="AK2" s="32" t="s">
        <v>175</v>
      </c>
      <c r="AL2" s="32" t="s">
        <v>176</v>
      </c>
      <c r="AM2" s="32" t="s">
        <v>177</v>
      </c>
      <c r="AN2" s="32" t="s">
        <v>178</v>
      </c>
      <c r="AO2" s="32" t="s">
        <v>179</v>
      </c>
      <c r="AP2" s="32" t="s">
        <v>180</v>
      </c>
      <c r="AQ2" s="32" t="s">
        <v>181</v>
      </c>
      <c r="AR2" s="32" t="s">
        <v>182</v>
      </c>
      <c r="AS2" s="32" t="s">
        <v>183</v>
      </c>
      <c r="AT2" s="32" t="s">
        <v>184</v>
      </c>
      <c r="AU2" s="32" t="s">
        <v>185</v>
      </c>
      <c r="AV2" s="32" t="s">
        <v>186</v>
      </c>
      <c r="AW2" s="32" t="s">
        <v>187</v>
      </c>
      <c r="AX2" s="32" t="s">
        <v>188</v>
      </c>
      <c r="AY2" s="32" t="s">
        <v>189</v>
      </c>
    </row>
    <row r="3" customFormat="false" ht="30" hidden="false" customHeight="true" outlineLevel="0" collapsed="false">
      <c r="A3" s="33" t="n">
        <v>1</v>
      </c>
      <c r="B3" s="34" t="s">
        <v>824</v>
      </c>
      <c r="C3" s="34" t="s">
        <v>825</v>
      </c>
      <c r="D3" s="34" t="s">
        <v>825</v>
      </c>
      <c r="E3" s="34" t="s">
        <v>826</v>
      </c>
      <c r="F3" s="33" t="s">
        <v>827</v>
      </c>
      <c r="G3" s="34" t="s">
        <v>828</v>
      </c>
      <c r="H3" s="34" t="s">
        <v>829</v>
      </c>
      <c r="I3" s="34" t="s">
        <v>830</v>
      </c>
      <c r="J3" s="33" t="s">
        <v>194</v>
      </c>
      <c r="K3" s="34" t="s">
        <v>831</v>
      </c>
      <c r="L3" s="34" t="s">
        <v>832</v>
      </c>
      <c r="M3" s="34" t="s">
        <v>833</v>
      </c>
      <c r="N3" s="33" t="s">
        <v>834</v>
      </c>
      <c r="O3" s="34" t="s">
        <v>835</v>
      </c>
      <c r="P3" s="33" t="s">
        <v>836</v>
      </c>
      <c r="Q3" s="34" t="s">
        <v>837</v>
      </c>
      <c r="R3" s="34" t="s">
        <v>838</v>
      </c>
      <c r="S3" s="34" t="s">
        <v>179</v>
      </c>
      <c r="T3" s="33" t="s">
        <v>201</v>
      </c>
      <c r="U3" s="33" t="s">
        <v>194</v>
      </c>
      <c r="V3" s="33"/>
      <c r="W3" s="33"/>
      <c r="X3" s="33"/>
      <c r="Y3" s="34" t="s">
        <v>839</v>
      </c>
      <c r="Z3" s="35" t="s">
        <v>203</v>
      </c>
      <c r="AA3" s="34" t="s">
        <v>840</v>
      </c>
      <c r="AB3" s="34" t="s">
        <v>179</v>
      </c>
      <c r="AC3" s="33" t="s">
        <v>108</v>
      </c>
      <c r="AD3" s="33" t="s">
        <v>841</v>
      </c>
      <c r="AE3" s="33" t="s">
        <v>203</v>
      </c>
      <c r="AF3" s="33" t="s">
        <v>206</v>
      </c>
      <c r="AG3" s="33" t="s">
        <v>203</v>
      </c>
      <c r="AH3" s="33" t="s">
        <v>203</v>
      </c>
      <c r="AI3" s="33" t="s">
        <v>207</v>
      </c>
      <c r="AJ3" s="33" t="s">
        <v>194</v>
      </c>
      <c r="AK3" s="33" t="s">
        <v>194</v>
      </c>
      <c r="AL3" s="33"/>
      <c r="AM3" s="33"/>
      <c r="AN3" s="33"/>
      <c r="AO3" s="35" t="s">
        <v>208</v>
      </c>
      <c r="AP3" s="33"/>
      <c r="AQ3" s="33"/>
      <c r="AR3" s="34" t="s">
        <v>834</v>
      </c>
      <c r="AS3" s="34" t="s">
        <v>842</v>
      </c>
      <c r="AT3" s="34" t="s">
        <v>843</v>
      </c>
      <c r="AU3" s="36" t="s">
        <v>71</v>
      </c>
      <c r="AV3" s="33" t="s">
        <v>81</v>
      </c>
      <c r="AW3" s="36" t="s">
        <v>95</v>
      </c>
      <c r="AX3" s="42" t="s">
        <v>86</v>
      </c>
      <c r="AY3" s="34" t="s">
        <v>844</v>
      </c>
    </row>
    <row r="4" customFormat="false" ht="30" hidden="false" customHeight="true" outlineLevel="0" collapsed="false">
      <c r="A4" s="39" t="n">
        <v>2</v>
      </c>
      <c r="B4" s="40" t="s">
        <v>824</v>
      </c>
      <c r="C4" s="40" t="s">
        <v>825</v>
      </c>
      <c r="D4" s="40" t="s">
        <v>825</v>
      </c>
      <c r="E4" s="40" t="s">
        <v>826</v>
      </c>
      <c r="F4" s="39" t="s">
        <v>827</v>
      </c>
      <c r="G4" s="40" t="s">
        <v>828</v>
      </c>
      <c r="H4" s="40" t="s">
        <v>829</v>
      </c>
      <c r="I4" s="40" t="s">
        <v>830</v>
      </c>
      <c r="J4" s="39" t="s">
        <v>194</v>
      </c>
      <c r="K4" s="40" t="s">
        <v>831</v>
      </c>
      <c r="L4" s="40" t="s">
        <v>832</v>
      </c>
      <c r="M4" s="40" t="s">
        <v>833</v>
      </c>
      <c r="N4" s="39" t="s">
        <v>834</v>
      </c>
      <c r="O4" s="40" t="s">
        <v>845</v>
      </c>
      <c r="P4" s="39" t="s">
        <v>846</v>
      </c>
      <c r="Q4" s="40" t="s">
        <v>847</v>
      </c>
      <c r="R4" s="40" t="s">
        <v>848</v>
      </c>
      <c r="S4" s="40" t="s">
        <v>179</v>
      </c>
      <c r="T4" s="39" t="s">
        <v>201</v>
      </c>
      <c r="U4" s="39" t="s">
        <v>194</v>
      </c>
      <c r="V4" s="39"/>
      <c r="W4" s="39"/>
      <c r="X4" s="39"/>
      <c r="Y4" s="40" t="s">
        <v>839</v>
      </c>
      <c r="Z4" s="35" t="s">
        <v>203</v>
      </c>
      <c r="AA4" s="40" t="s">
        <v>849</v>
      </c>
      <c r="AB4" s="40" t="s">
        <v>179</v>
      </c>
      <c r="AC4" s="39" t="s">
        <v>108</v>
      </c>
      <c r="AD4" s="39" t="s">
        <v>841</v>
      </c>
      <c r="AE4" s="39" t="s">
        <v>203</v>
      </c>
      <c r="AF4" s="39" t="s">
        <v>206</v>
      </c>
      <c r="AG4" s="39" t="s">
        <v>203</v>
      </c>
      <c r="AH4" s="39" t="s">
        <v>203</v>
      </c>
      <c r="AI4" s="39" t="s">
        <v>207</v>
      </c>
      <c r="AJ4" s="39" t="s">
        <v>194</v>
      </c>
      <c r="AK4" s="39" t="s">
        <v>194</v>
      </c>
      <c r="AL4" s="39"/>
      <c r="AM4" s="39"/>
      <c r="AN4" s="39"/>
      <c r="AO4" s="35" t="s">
        <v>208</v>
      </c>
      <c r="AP4" s="39"/>
      <c r="AQ4" s="39"/>
      <c r="AR4" s="40" t="s">
        <v>834</v>
      </c>
      <c r="AS4" s="40" t="s">
        <v>842</v>
      </c>
      <c r="AT4" s="40" t="s">
        <v>843</v>
      </c>
      <c r="AU4" s="36" t="s">
        <v>71</v>
      </c>
      <c r="AV4" s="33" t="s">
        <v>81</v>
      </c>
      <c r="AW4" s="36" t="s">
        <v>95</v>
      </c>
      <c r="AX4" s="42" t="s">
        <v>86</v>
      </c>
      <c r="AY4" s="40"/>
    </row>
    <row r="5" customFormat="false" ht="30" hidden="false" customHeight="true" outlineLevel="0" collapsed="false">
      <c r="A5" s="33" t="n">
        <v>3</v>
      </c>
      <c r="B5" s="34" t="s">
        <v>824</v>
      </c>
      <c r="C5" s="34" t="s">
        <v>825</v>
      </c>
      <c r="D5" s="34" t="s">
        <v>825</v>
      </c>
      <c r="E5" s="34" t="s">
        <v>826</v>
      </c>
      <c r="F5" s="33" t="s">
        <v>827</v>
      </c>
      <c r="G5" s="34" t="s">
        <v>828</v>
      </c>
      <c r="H5" s="34" t="s">
        <v>829</v>
      </c>
      <c r="I5" s="34" t="s">
        <v>830</v>
      </c>
      <c r="J5" s="33" t="s">
        <v>194</v>
      </c>
      <c r="K5" s="34" t="s">
        <v>831</v>
      </c>
      <c r="L5" s="34" t="s">
        <v>832</v>
      </c>
      <c r="M5" s="34" t="s">
        <v>833</v>
      </c>
      <c r="N5" s="33" t="s">
        <v>834</v>
      </c>
      <c r="O5" s="34" t="s">
        <v>850</v>
      </c>
      <c r="P5" s="33" t="s">
        <v>275</v>
      </c>
      <c r="Q5" s="34" t="s">
        <v>851</v>
      </c>
      <c r="R5" s="34" t="s">
        <v>852</v>
      </c>
      <c r="S5" s="34" t="s">
        <v>179</v>
      </c>
      <c r="T5" s="33" t="s">
        <v>279</v>
      </c>
      <c r="U5" s="33" t="s">
        <v>322</v>
      </c>
      <c r="V5" s="33"/>
      <c r="W5" s="33"/>
      <c r="X5" s="33"/>
      <c r="Y5" s="34"/>
      <c r="Z5" s="36" t="s">
        <v>97</v>
      </c>
      <c r="AA5" s="34" t="s">
        <v>853</v>
      </c>
      <c r="AB5" s="34" t="s">
        <v>179</v>
      </c>
      <c r="AC5" s="33" t="s">
        <v>108</v>
      </c>
      <c r="AD5" s="33" t="s">
        <v>854</v>
      </c>
      <c r="AE5" s="33" t="s">
        <v>203</v>
      </c>
      <c r="AF5" s="33" t="s">
        <v>206</v>
      </c>
      <c r="AG5" s="33" t="s">
        <v>203</v>
      </c>
      <c r="AH5" s="33" t="s">
        <v>203</v>
      </c>
      <c r="AI5" s="33" t="s">
        <v>207</v>
      </c>
      <c r="AJ5" s="33" t="s">
        <v>194</v>
      </c>
      <c r="AK5" s="33" t="s">
        <v>194</v>
      </c>
      <c r="AL5" s="33"/>
      <c r="AM5" s="33"/>
      <c r="AN5" s="33"/>
      <c r="AO5" s="35" t="s">
        <v>208</v>
      </c>
      <c r="AP5" s="33"/>
      <c r="AQ5" s="33"/>
      <c r="AR5" s="34" t="s">
        <v>834</v>
      </c>
      <c r="AS5" s="34" t="s">
        <v>842</v>
      </c>
      <c r="AT5" s="34" t="s">
        <v>843</v>
      </c>
      <c r="AU5" s="36" t="s">
        <v>71</v>
      </c>
      <c r="AV5" s="33" t="s">
        <v>81</v>
      </c>
      <c r="AW5" s="43" t="s">
        <v>97</v>
      </c>
      <c r="AX5" s="44" t="s">
        <v>88</v>
      </c>
      <c r="AY5" s="34"/>
    </row>
    <row r="6" customFormat="false" ht="30" hidden="false" customHeight="true" outlineLevel="0" collapsed="false">
      <c r="A6" s="39" t="n">
        <v>4</v>
      </c>
      <c r="B6" s="40" t="s">
        <v>824</v>
      </c>
      <c r="C6" s="40" t="s">
        <v>855</v>
      </c>
      <c r="D6" s="40" t="s">
        <v>855</v>
      </c>
      <c r="E6" s="40" t="s">
        <v>826</v>
      </c>
      <c r="F6" s="39" t="s">
        <v>827</v>
      </c>
      <c r="G6" s="40" t="s">
        <v>194</v>
      </c>
      <c r="H6" s="40" t="s">
        <v>213</v>
      </c>
      <c r="I6" s="40" t="s">
        <v>194</v>
      </c>
      <c r="J6" s="39" t="s">
        <v>194</v>
      </c>
      <c r="K6" s="40" t="s">
        <v>194</v>
      </c>
      <c r="L6" s="40" t="s">
        <v>194</v>
      </c>
      <c r="M6" s="40" t="s">
        <v>194</v>
      </c>
      <c r="N6" s="39" t="s">
        <v>214</v>
      </c>
      <c r="O6" s="40" t="s">
        <v>856</v>
      </c>
      <c r="P6" s="39" t="s">
        <v>194</v>
      </c>
      <c r="Q6" s="40" t="s">
        <v>857</v>
      </c>
      <c r="R6" s="40" t="s">
        <v>858</v>
      </c>
      <c r="S6" s="40" t="s">
        <v>179</v>
      </c>
      <c r="T6" s="39" t="s">
        <v>279</v>
      </c>
      <c r="U6" s="39" t="s">
        <v>322</v>
      </c>
      <c r="V6" s="39"/>
      <c r="W6" s="39"/>
      <c r="X6" s="39"/>
      <c r="Y6" s="40" t="s">
        <v>859</v>
      </c>
      <c r="Z6" s="35" t="s">
        <v>203</v>
      </c>
      <c r="AA6" s="40" t="s">
        <v>860</v>
      </c>
      <c r="AB6" s="40" t="s">
        <v>179</v>
      </c>
      <c r="AC6" s="39" t="s">
        <v>110</v>
      </c>
      <c r="AD6" s="39" t="s">
        <v>861</v>
      </c>
      <c r="AE6" s="39" t="s">
        <v>203</v>
      </c>
      <c r="AF6" s="39" t="s">
        <v>206</v>
      </c>
      <c r="AG6" s="39" t="s">
        <v>203</v>
      </c>
      <c r="AH6" s="39" t="s">
        <v>242</v>
      </c>
      <c r="AI6" s="39" t="s">
        <v>207</v>
      </c>
      <c r="AJ6" s="39" t="s">
        <v>194</v>
      </c>
      <c r="AK6" s="39" t="s">
        <v>194</v>
      </c>
      <c r="AL6" s="39"/>
      <c r="AM6" s="39"/>
      <c r="AN6" s="39"/>
      <c r="AO6" s="35" t="s">
        <v>208</v>
      </c>
      <c r="AP6" s="39"/>
      <c r="AQ6" s="39"/>
      <c r="AR6" s="40" t="s">
        <v>214</v>
      </c>
      <c r="AS6" s="40" t="s">
        <v>194</v>
      </c>
      <c r="AT6" s="40" t="s">
        <v>221</v>
      </c>
      <c r="AU6" s="41" t="s">
        <v>75</v>
      </c>
      <c r="AV6" s="33" t="s">
        <v>81</v>
      </c>
      <c r="AW6" s="36" t="s">
        <v>95</v>
      </c>
      <c r="AX6" s="42" t="s">
        <v>86</v>
      </c>
      <c r="AY6" s="40" t="s">
        <v>862</v>
      </c>
    </row>
    <row r="7" customFormat="false" ht="30" hidden="false" customHeight="true" outlineLevel="0" collapsed="false">
      <c r="A7" s="33" t="n">
        <v>5</v>
      </c>
      <c r="B7" s="34" t="s">
        <v>824</v>
      </c>
      <c r="C7" s="34" t="s">
        <v>855</v>
      </c>
      <c r="D7" s="34" t="s">
        <v>855</v>
      </c>
      <c r="E7" s="34" t="s">
        <v>826</v>
      </c>
      <c r="F7" s="33" t="s">
        <v>827</v>
      </c>
      <c r="G7" s="34" t="s">
        <v>194</v>
      </c>
      <c r="H7" s="34" t="s">
        <v>213</v>
      </c>
      <c r="I7" s="34" t="s">
        <v>194</v>
      </c>
      <c r="J7" s="33" t="s">
        <v>194</v>
      </c>
      <c r="K7" s="34" t="s">
        <v>194</v>
      </c>
      <c r="L7" s="34" t="s">
        <v>194</v>
      </c>
      <c r="M7" s="34" t="s">
        <v>194</v>
      </c>
      <c r="N7" s="33" t="s">
        <v>214</v>
      </c>
      <c r="O7" s="34" t="s">
        <v>863</v>
      </c>
      <c r="P7" s="33" t="s">
        <v>194</v>
      </c>
      <c r="Q7" s="34" t="s">
        <v>864</v>
      </c>
      <c r="R7" s="34" t="s">
        <v>865</v>
      </c>
      <c r="S7" s="34" t="s">
        <v>179</v>
      </c>
      <c r="T7" s="33" t="s">
        <v>279</v>
      </c>
      <c r="U7" s="33" t="s">
        <v>322</v>
      </c>
      <c r="V7" s="33"/>
      <c r="W7" s="33"/>
      <c r="X7" s="33"/>
      <c r="Y7" s="34"/>
      <c r="Z7" s="35" t="s">
        <v>203</v>
      </c>
      <c r="AA7" s="34" t="s">
        <v>860</v>
      </c>
      <c r="AB7" s="34" t="s">
        <v>179</v>
      </c>
      <c r="AC7" s="33" t="s">
        <v>110</v>
      </c>
      <c r="AD7" s="33" t="s">
        <v>861</v>
      </c>
      <c r="AE7" s="33" t="s">
        <v>203</v>
      </c>
      <c r="AF7" s="33" t="s">
        <v>206</v>
      </c>
      <c r="AG7" s="33" t="s">
        <v>203</v>
      </c>
      <c r="AH7" s="33" t="s">
        <v>242</v>
      </c>
      <c r="AI7" s="33" t="s">
        <v>207</v>
      </c>
      <c r="AJ7" s="33" t="s">
        <v>194</v>
      </c>
      <c r="AK7" s="33" t="s">
        <v>194</v>
      </c>
      <c r="AL7" s="33"/>
      <c r="AM7" s="33"/>
      <c r="AN7" s="33"/>
      <c r="AO7" s="35" t="s">
        <v>208</v>
      </c>
      <c r="AP7" s="33"/>
      <c r="AQ7" s="33"/>
      <c r="AR7" s="34" t="s">
        <v>214</v>
      </c>
      <c r="AS7" s="34" t="s">
        <v>194</v>
      </c>
      <c r="AT7" s="34" t="s">
        <v>221</v>
      </c>
      <c r="AU7" s="41" t="s">
        <v>75</v>
      </c>
      <c r="AV7" s="33" t="s">
        <v>81</v>
      </c>
      <c r="AW7" s="36" t="s">
        <v>95</v>
      </c>
      <c r="AX7" s="42" t="s">
        <v>86</v>
      </c>
      <c r="AY7" s="34"/>
    </row>
    <row r="8" customFormat="false" ht="30" hidden="false" customHeight="true" outlineLevel="0" collapsed="false">
      <c r="A8" s="39" t="n">
        <v>6</v>
      </c>
      <c r="B8" s="40" t="s">
        <v>824</v>
      </c>
      <c r="C8" s="40" t="s">
        <v>588</v>
      </c>
      <c r="D8" s="40" t="s">
        <v>588</v>
      </c>
      <c r="E8" s="40" t="s">
        <v>826</v>
      </c>
      <c r="F8" s="39" t="s">
        <v>827</v>
      </c>
      <c r="G8" s="40" t="s">
        <v>194</v>
      </c>
      <c r="H8" s="40" t="s">
        <v>213</v>
      </c>
      <c r="I8" s="40" t="s">
        <v>194</v>
      </c>
      <c r="J8" s="39" t="s">
        <v>194</v>
      </c>
      <c r="K8" s="40" t="s">
        <v>194</v>
      </c>
      <c r="L8" s="40" t="s">
        <v>194</v>
      </c>
      <c r="M8" s="40" t="s">
        <v>194</v>
      </c>
      <c r="N8" s="39" t="s">
        <v>214</v>
      </c>
      <c r="O8" s="40" t="s">
        <v>866</v>
      </c>
      <c r="P8" s="39" t="s">
        <v>194</v>
      </c>
      <c r="Q8" s="40" t="s">
        <v>867</v>
      </c>
      <c r="R8" s="40" t="s">
        <v>868</v>
      </c>
      <c r="S8" s="40" t="s">
        <v>179</v>
      </c>
      <c r="T8" s="39" t="s">
        <v>201</v>
      </c>
      <c r="U8" s="39" t="s">
        <v>194</v>
      </c>
      <c r="V8" s="39"/>
      <c r="W8" s="39"/>
      <c r="X8" s="39"/>
      <c r="Y8" s="40" t="s">
        <v>869</v>
      </c>
      <c r="Z8" s="35" t="s">
        <v>203</v>
      </c>
      <c r="AA8" s="40" t="s">
        <v>870</v>
      </c>
      <c r="AB8" s="40" t="s">
        <v>179</v>
      </c>
      <c r="AC8" s="39" t="s">
        <v>110</v>
      </c>
      <c r="AD8" s="39" t="s">
        <v>871</v>
      </c>
      <c r="AE8" s="39" t="s">
        <v>203</v>
      </c>
      <c r="AF8" s="39" t="s">
        <v>206</v>
      </c>
      <c r="AG8" s="39" t="s">
        <v>203</v>
      </c>
      <c r="AH8" s="39" t="s">
        <v>242</v>
      </c>
      <c r="AI8" s="39" t="s">
        <v>207</v>
      </c>
      <c r="AJ8" s="39" t="s">
        <v>194</v>
      </c>
      <c r="AK8" s="39" t="s">
        <v>194</v>
      </c>
      <c r="AL8" s="39"/>
      <c r="AM8" s="39"/>
      <c r="AN8" s="39"/>
      <c r="AO8" s="35" t="s">
        <v>208</v>
      </c>
      <c r="AP8" s="39"/>
      <c r="AQ8" s="39"/>
      <c r="AR8" s="40" t="s">
        <v>214</v>
      </c>
      <c r="AS8" s="40" t="s">
        <v>194</v>
      </c>
      <c r="AT8" s="40" t="s">
        <v>221</v>
      </c>
      <c r="AU8" s="41" t="s">
        <v>75</v>
      </c>
      <c r="AV8" s="33" t="s">
        <v>81</v>
      </c>
      <c r="AW8" s="43" t="s">
        <v>97</v>
      </c>
      <c r="AX8" s="44" t="s">
        <v>88</v>
      </c>
      <c r="AY8" s="40"/>
    </row>
    <row r="9" customFormat="false" ht="30" hidden="false" customHeight="true" outlineLevel="0" collapsed="false">
      <c r="A9" s="33" t="n">
        <v>7</v>
      </c>
      <c r="B9" s="34" t="s">
        <v>824</v>
      </c>
      <c r="C9" s="34" t="s">
        <v>872</v>
      </c>
      <c r="D9" s="34" t="s">
        <v>872</v>
      </c>
      <c r="E9" s="34" t="s">
        <v>826</v>
      </c>
      <c r="F9" s="33" t="s">
        <v>827</v>
      </c>
      <c r="G9" s="34" t="s">
        <v>194</v>
      </c>
      <c r="H9" s="34" t="s">
        <v>213</v>
      </c>
      <c r="I9" s="34" t="s">
        <v>194</v>
      </c>
      <c r="J9" s="33" t="s">
        <v>194</v>
      </c>
      <c r="K9" s="34" t="s">
        <v>194</v>
      </c>
      <c r="L9" s="34" t="s">
        <v>194</v>
      </c>
      <c r="M9" s="34" t="s">
        <v>194</v>
      </c>
      <c r="N9" s="33" t="s">
        <v>214</v>
      </c>
      <c r="O9" s="34" t="s">
        <v>873</v>
      </c>
      <c r="P9" s="33" t="s">
        <v>194</v>
      </c>
      <c r="Q9" s="34" t="s">
        <v>874</v>
      </c>
      <c r="R9" s="34" t="s">
        <v>875</v>
      </c>
      <c r="S9" s="34" t="s">
        <v>179</v>
      </c>
      <c r="T9" s="33" t="s">
        <v>201</v>
      </c>
      <c r="U9" s="33" t="s">
        <v>194</v>
      </c>
      <c r="V9" s="33"/>
      <c r="W9" s="33"/>
      <c r="X9" s="33"/>
      <c r="Y9" s="34"/>
      <c r="Z9" s="35" t="s">
        <v>203</v>
      </c>
      <c r="AA9" s="34" t="s">
        <v>876</v>
      </c>
      <c r="AB9" s="34" t="s">
        <v>179</v>
      </c>
      <c r="AC9" s="33" t="s">
        <v>110</v>
      </c>
      <c r="AD9" s="33" t="s">
        <v>871</v>
      </c>
      <c r="AE9" s="33" t="s">
        <v>203</v>
      </c>
      <c r="AF9" s="33" t="s">
        <v>206</v>
      </c>
      <c r="AG9" s="33" t="s">
        <v>203</v>
      </c>
      <c r="AH9" s="33" t="s">
        <v>242</v>
      </c>
      <c r="AI9" s="33" t="s">
        <v>207</v>
      </c>
      <c r="AJ9" s="33" t="s">
        <v>194</v>
      </c>
      <c r="AK9" s="33" t="s">
        <v>194</v>
      </c>
      <c r="AL9" s="33"/>
      <c r="AM9" s="33"/>
      <c r="AN9" s="33"/>
      <c r="AO9" s="35" t="s">
        <v>208</v>
      </c>
      <c r="AP9" s="33"/>
      <c r="AQ9" s="33"/>
      <c r="AR9" s="34" t="s">
        <v>214</v>
      </c>
      <c r="AS9" s="34" t="s">
        <v>194</v>
      </c>
      <c r="AT9" s="34" t="s">
        <v>221</v>
      </c>
      <c r="AU9" s="41" t="s">
        <v>75</v>
      </c>
      <c r="AV9" s="33" t="s">
        <v>81</v>
      </c>
      <c r="AW9" s="43" t="s">
        <v>97</v>
      </c>
      <c r="AX9" s="44" t="s">
        <v>88</v>
      </c>
      <c r="AY9" s="34"/>
    </row>
    <row r="10" customFormat="false" ht="30" hidden="false" customHeight="true" outlineLevel="0" collapsed="false">
      <c r="A10" s="39" t="n">
        <v>8</v>
      </c>
      <c r="B10" s="40" t="s">
        <v>824</v>
      </c>
      <c r="C10" s="40" t="s">
        <v>877</v>
      </c>
      <c r="D10" s="40" t="s">
        <v>877</v>
      </c>
      <c r="E10" s="40" t="s">
        <v>826</v>
      </c>
      <c r="F10" s="39" t="s">
        <v>827</v>
      </c>
      <c r="G10" s="40" t="s">
        <v>194</v>
      </c>
      <c r="H10" s="40" t="s">
        <v>213</v>
      </c>
      <c r="I10" s="40" t="s">
        <v>194</v>
      </c>
      <c r="J10" s="39" t="s">
        <v>194</v>
      </c>
      <c r="K10" s="40" t="s">
        <v>194</v>
      </c>
      <c r="L10" s="40" t="s">
        <v>194</v>
      </c>
      <c r="M10" s="40" t="s">
        <v>194</v>
      </c>
      <c r="N10" s="39" t="s">
        <v>214</v>
      </c>
      <c r="O10" s="40" t="s">
        <v>878</v>
      </c>
      <c r="P10" s="39" t="s">
        <v>194</v>
      </c>
      <c r="Q10" s="40" t="s">
        <v>879</v>
      </c>
      <c r="R10" s="40" t="s">
        <v>880</v>
      </c>
      <c r="S10" s="40" t="s">
        <v>437</v>
      </c>
      <c r="T10" s="39" t="s">
        <v>201</v>
      </c>
      <c r="U10" s="39" t="s">
        <v>194</v>
      </c>
      <c r="V10" s="39"/>
      <c r="W10" s="39"/>
      <c r="X10" s="39"/>
      <c r="Y10" s="40"/>
      <c r="Z10" s="35" t="s">
        <v>203</v>
      </c>
      <c r="AA10" s="40" t="s">
        <v>881</v>
      </c>
      <c r="AB10" s="40" t="s">
        <v>179</v>
      </c>
      <c r="AC10" s="39" t="s">
        <v>110</v>
      </c>
      <c r="AD10" s="39" t="s">
        <v>871</v>
      </c>
      <c r="AE10" s="39" t="s">
        <v>203</v>
      </c>
      <c r="AF10" s="39" t="s">
        <v>206</v>
      </c>
      <c r="AG10" s="39" t="s">
        <v>203</v>
      </c>
      <c r="AH10" s="39" t="s">
        <v>242</v>
      </c>
      <c r="AI10" s="39" t="s">
        <v>207</v>
      </c>
      <c r="AJ10" s="39" t="s">
        <v>194</v>
      </c>
      <c r="AK10" s="39" t="s">
        <v>194</v>
      </c>
      <c r="AL10" s="39"/>
      <c r="AM10" s="39"/>
      <c r="AN10" s="39"/>
      <c r="AO10" s="35" t="s">
        <v>208</v>
      </c>
      <c r="AP10" s="39"/>
      <c r="AQ10" s="39"/>
      <c r="AR10" s="40" t="s">
        <v>214</v>
      </c>
      <c r="AS10" s="40" t="s">
        <v>194</v>
      </c>
      <c r="AT10" s="40" t="s">
        <v>221</v>
      </c>
      <c r="AU10" s="41" t="s">
        <v>75</v>
      </c>
      <c r="AV10" s="33" t="s">
        <v>81</v>
      </c>
      <c r="AW10" s="36" t="s">
        <v>95</v>
      </c>
      <c r="AX10" s="42" t="s">
        <v>86</v>
      </c>
      <c r="AY10" s="40" t="s">
        <v>882</v>
      </c>
    </row>
  </sheetData>
  <mergeCells count="1">
    <mergeCell ref="A1:A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8" min="18" style="0" width="34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1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22"/>
    <col collapsed="false" customWidth="true" hidden="false" outlineLevel="0" max="26" min="26" style="0" width="9"/>
    <col collapsed="false" customWidth="true" hidden="false" outlineLevel="0" max="27" min="27" style="0" width="30"/>
    <col collapsed="false" customWidth="true" hidden="false" outlineLevel="0" max="28" min="28" style="0" width="20"/>
    <col collapsed="false" customWidth="true" hidden="false" outlineLevel="0" max="29" min="29" style="0" width="13"/>
    <col collapsed="false" customWidth="true" hidden="false" outlineLevel="0" max="30" min="30" style="0" width="14"/>
    <col collapsed="false" customWidth="true" hidden="false" outlineLevel="0" max="31" min="31" style="0" width="9"/>
    <col collapsed="false" customWidth="true" hidden="false" outlineLevel="0" max="32" min="32" style="0" width="18"/>
    <col collapsed="false" customWidth="true" hidden="false" outlineLevel="0" max="33" min="33" style="0" width="9"/>
    <col collapsed="false" customWidth="true" hidden="false" outlineLevel="0" max="35" min="34" style="0" width="8"/>
    <col collapsed="false" customWidth="true" hidden="false" outlineLevel="0" max="37" min="36" style="0" width="11"/>
    <col collapsed="false" customWidth="true" hidden="false" outlineLevel="0" max="38" min="38" style="0" width="8"/>
    <col collapsed="false" customWidth="true" hidden="false" outlineLevel="0" max="39" min="39" style="0" width="6"/>
    <col collapsed="false" customWidth="true" hidden="false" outlineLevel="0" max="40" min="40" style="0" width="9"/>
    <col collapsed="false" customWidth="true" hidden="false" outlineLevel="0" max="41" min="41" style="0" width="8"/>
    <col collapsed="false" customWidth="true" hidden="false" outlineLevel="0" max="42" min="42" style="0" width="10"/>
    <col collapsed="false" customWidth="true" hidden="false" outlineLevel="0" max="43" min="43" style="0" width="7"/>
    <col collapsed="false" customWidth="true" hidden="false" outlineLevel="0" max="45" min="44" style="0" width="18"/>
    <col collapsed="false" customWidth="true" hidden="false" outlineLevel="0" max="47" min="46" style="0" width="22"/>
    <col collapsed="false" customWidth="true" hidden="false" outlineLevel="0" max="48" min="48" style="0" width="13"/>
    <col collapsed="false" customWidth="true" hidden="false" outlineLevel="0" max="49" min="49" style="0" width="11"/>
    <col collapsed="false" customWidth="true" hidden="false" outlineLevel="0" max="50" min="50" style="0" width="9"/>
    <col collapsed="false" customWidth="true" hidden="false" outlineLevel="0" max="51" min="51" style="0" width="40"/>
  </cols>
  <sheetData>
    <row r="1" customFormat="false" ht="21.75" hidden="false" customHeight="true" outlineLevel="0" collapsed="false">
      <c r="A1" s="31" t="s">
        <v>883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</row>
    <row r="2" customFormat="false" ht="19.4" hidden="false" customHeight="false" outlineLevel="0" collapsed="false">
      <c r="A2" s="32" t="s">
        <v>140</v>
      </c>
      <c r="B2" s="32" t="s">
        <v>141</v>
      </c>
      <c r="C2" s="32" t="s">
        <v>142</v>
      </c>
      <c r="D2" s="32" t="s">
        <v>143</v>
      </c>
      <c r="E2" s="32" t="s">
        <v>144</v>
      </c>
      <c r="F2" s="32" t="s">
        <v>145</v>
      </c>
      <c r="G2" s="32" t="s">
        <v>146</v>
      </c>
      <c r="H2" s="32" t="s">
        <v>147</v>
      </c>
      <c r="I2" s="32" t="s">
        <v>148</v>
      </c>
      <c r="J2" s="32" t="s">
        <v>149</v>
      </c>
      <c r="K2" s="32" t="s">
        <v>150</v>
      </c>
      <c r="L2" s="32" t="s">
        <v>151</v>
      </c>
      <c r="M2" s="32" t="s">
        <v>152</v>
      </c>
      <c r="N2" s="32" t="s">
        <v>153</v>
      </c>
      <c r="O2" s="32" t="s">
        <v>154</v>
      </c>
      <c r="P2" s="32" t="s">
        <v>155</v>
      </c>
      <c r="Q2" s="32" t="s">
        <v>156</v>
      </c>
      <c r="R2" s="32" t="s">
        <v>157</v>
      </c>
      <c r="S2" s="32" t="s">
        <v>117</v>
      </c>
      <c r="T2" s="32" t="s">
        <v>158</v>
      </c>
      <c r="U2" s="32" t="s">
        <v>159</v>
      </c>
      <c r="V2" s="32" t="s">
        <v>160</v>
      </c>
      <c r="W2" s="32" t="s">
        <v>161</v>
      </c>
      <c r="X2" s="32" t="s">
        <v>162</v>
      </c>
      <c r="Y2" s="32" t="s">
        <v>163</v>
      </c>
      <c r="Z2" s="32" t="s">
        <v>164</v>
      </c>
      <c r="AA2" s="32" t="s">
        <v>165</v>
      </c>
      <c r="AB2" s="32" t="s">
        <v>166</v>
      </c>
      <c r="AC2" s="32" t="s">
        <v>167</v>
      </c>
      <c r="AD2" s="32" t="s">
        <v>168</v>
      </c>
      <c r="AE2" s="32" t="s">
        <v>169</v>
      </c>
      <c r="AF2" s="32" t="s">
        <v>170</v>
      </c>
      <c r="AG2" s="32" t="s">
        <v>171</v>
      </c>
      <c r="AH2" s="32" t="s">
        <v>172</v>
      </c>
      <c r="AI2" s="32" t="s">
        <v>173</v>
      </c>
      <c r="AJ2" s="32" t="s">
        <v>174</v>
      </c>
      <c r="AK2" s="32" t="s">
        <v>175</v>
      </c>
      <c r="AL2" s="32" t="s">
        <v>176</v>
      </c>
      <c r="AM2" s="32" t="s">
        <v>177</v>
      </c>
      <c r="AN2" s="32" t="s">
        <v>178</v>
      </c>
      <c r="AO2" s="32" t="s">
        <v>179</v>
      </c>
      <c r="AP2" s="32" t="s">
        <v>180</v>
      </c>
      <c r="AQ2" s="32" t="s">
        <v>181</v>
      </c>
      <c r="AR2" s="32" t="s">
        <v>182</v>
      </c>
      <c r="AS2" s="32" t="s">
        <v>183</v>
      </c>
      <c r="AT2" s="32" t="s">
        <v>184</v>
      </c>
      <c r="AU2" s="32" t="s">
        <v>185</v>
      </c>
      <c r="AV2" s="32" t="s">
        <v>186</v>
      </c>
      <c r="AW2" s="32" t="s">
        <v>187</v>
      </c>
      <c r="AX2" s="32" t="s">
        <v>188</v>
      </c>
      <c r="AY2" s="32" t="s">
        <v>189</v>
      </c>
    </row>
    <row r="3" customFormat="false" ht="30" hidden="false" customHeight="true" outlineLevel="0" collapsed="false">
      <c r="A3" s="33" t="n">
        <v>1</v>
      </c>
      <c r="B3" s="34" t="s">
        <v>884</v>
      </c>
      <c r="C3" s="34" t="s">
        <v>885</v>
      </c>
      <c r="D3" s="34" t="s">
        <v>885</v>
      </c>
      <c r="E3" s="34" t="s">
        <v>886</v>
      </c>
      <c r="F3" s="33" t="s">
        <v>887</v>
      </c>
      <c r="G3" s="34" t="s">
        <v>780</v>
      </c>
      <c r="H3" s="34" t="s">
        <v>781</v>
      </c>
      <c r="I3" s="34" t="s">
        <v>782</v>
      </c>
      <c r="J3" s="33" t="s">
        <v>81</v>
      </c>
      <c r="K3" s="34" t="s">
        <v>194</v>
      </c>
      <c r="L3" s="34" t="s">
        <v>194</v>
      </c>
      <c r="M3" s="34" t="s">
        <v>783</v>
      </c>
      <c r="N3" s="33" t="s">
        <v>363</v>
      </c>
      <c r="O3" s="34" t="s">
        <v>888</v>
      </c>
      <c r="P3" s="33" t="s">
        <v>275</v>
      </c>
      <c r="Q3" s="34" t="s">
        <v>889</v>
      </c>
      <c r="R3" s="34" t="s">
        <v>890</v>
      </c>
      <c r="S3" s="34" t="s">
        <v>295</v>
      </c>
      <c r="T3" s="33" t="s">
        <v>279</v>
      </c>
      <c r="U3" s="33" t="s">
        <v>322</v>
      </c>
      <c r="V3" s="33"/>
      <c r="W3" s="33"/>
      <c r="X3" s="33"/>
      <c r="Y3" s="34"/>
      <c r="Z3" s="36" t="s">
        <v>97</v>
      </c>
      <c r="AA3" s="34" t="s">
        <v>891</v>
      </c>
      <c r="AB3" s="34" t="s">
        <v>300</v>
      </c>
      <c r="AC3" s="33" t="s">
        <v>108</v>
      </c>
      <c r="AD3" s="33" t="s">
        <v>892</v>
      </c>
      <c r="AE3" s="33" t="s">
        <v>203</v>
      </c>
      <c r="AF3" s="33" t="s">
        <v>206</v>
      </c>
      <c r="AG3" s="33" t="s">
        <v>203</v>
      </c>
      <c r="AH3" s="33" t="s">
        <v>203</v>
      </c>
      <c r="AI3" s="33" t="s">
        <v>207</v>
      </c>
      <c r="AJ3" s="33" t="s">
        <v>194</v>
      </c>
      <c r="AK3" s="33" t="s">
        <v>194</v>
      </c>
      <c r="AL3" s="33"/>
      <c r="AM3" s="33"/>
      <c r="AN3" s="33"/>
      <c r="AO3" s="33"/>
      <c r="AP3" s="33"/>
      <c r="AQ3" s="33"/>
      <c r="AR3" s="34" t="s">
        <v>363</v>
      </c>
      <c r="AS3" s="34" t="s">
        <v>789</v>
      </c>
      <c r="AT3" s="34" t="s">
        <v>790</v>
      </c>
      <c r="AU3" s="37" t="s">
        <v>81</v>
      </c>
      <c r="AV3" s="37" t="s">
        <v>103</v>
      </c>
      <c r="AW3" s="43" t="s">
        <v>97</v>
      </c>
      <c r="AX3" s="45" t="s">
        <v>90</v>
      </c>
      <c r="AY3" s="34" t="s">
        <v>893</v>
      </c>
    </row>
    <row r="4" customFormat="false" ht="30" hidden="false" customHeight="true" outlineLevel="0" collapsed="false">
      <c r="A4" s="39" t="n">
        <v>2</v>
      </c>
      <c r="B4" s="40" t="s">
        <v>884</v>
      </c>
      <c r="C4" s="40" t="s">
        <v>894</v>
      </c>
      <c r="D4" s="40" t="s">
        <v>894</v>
      </c>
      <c r="E4" s="40" t="s">
        <v>886</v>
      </c>
      <c r="F4" s="39" t="s">
        <v>887</v>
      </c>
      <c r="G4" s="40" t="s">
        <v>194</v>
      </c>
      <c r="H4" s="40" t="s">
        <v>213</v>
      </c>
      <c r="I4" s="40" t="s">
        <v>194</v>
      </c>
      <c r="J4" s="39" t="s">
        <v>194</v>
      </c>
      <c r="K4" s="40" t="s">
        <v>194</v>
      </c>
      <c r="L4" s="40" t="s">
        <v>194</v>
      </c>
      <c r="M4" s="40" t="s">
        <v>194</v>
      </c>
      <c r="N4" s="39" t="s">
        <v>214</v>
      </c>
      <c r="O4" s="40" t="s">
        <v>895</v>
      </c>
      <c r="P4" s="39" t="s">
        <v>194</v>
      </c>
      <c r="Q4" s="40" t="s">
        <v>896</v>
      </c>
      <c r="R4" s="40" t="s">
        <v>897</v>
      </c>
      <c r="S4" s="40" t="s">
        <v>180</v>
      </c>
      <c r="T4" s="39" t="s">
        <v>201</v>
      </c>
      <c r="U4" s="39" t="s">
        <v>194</v>
      </c>
      <c r="V4" s="39"/>
      <c r="W4" s="39"/>
      <c r="X4" s="39"/>
      <c r="Y4" s="40"/>
      <c r="Z4" s="36" t="s">
        <v>97</v>
      </c>
      <c r="AA4" s="40" t="s">
        <v>180</v>
      </c>
      <c r="AB4" s="40" t="s">
        <v>180</v>
      </c>
      <c r="AC4" s="39" t="s">
        <v>110</v>
      </c>
      <c r="AD4" s="39" t="s">
        <v>898</v>
      </c>
      <c r="AE4" s="39" t="s">
        <v>203</v>
      </c>
      <c r="AF4" s="39" t="s">
        <v>206</v>
      </c>
      <c r="AG4" s="39" t="s">
        <v>203</v>
      </c>
      <c r="AH4" s="39" t="s">
        <v>242</v>
      </c>
      <c r="AI4" s="39" t="s">
        <v>207</v>
      </c>
      <c r="AJ4" s="39" t="s">
        <v>194</v>
      </c>
      <c r="AK4" s="39" t="s">
        <v>194</v>
      </c>
      <c r="AL4" s="39"/>
      <c r="AM4" s="39"/>
      <c r="AN4" s="39"/>
      <c r="AO4" s="39"/>
      <c r="AP4" s="35" t="s">
        <v>208</v>
      </c>
      <c r="AQ4" s="39"/>
      <c r="AR4" s="40" t="s">
        <v>214</v>
      </c>
      <c r="AS4" s="40" t="s">
        <v>194</v>
      </c>
      <c r="AT4" s="40" t="s">
        <v>221</v>
      </c>
      <c r="AU4" s="37" t="s">
        <v>79</v>
      </c>
      <c r="AV4" s="37" t="s">
        <v>103</v>
      </c>
      <c r="AW4" s="43" t="s">
        <v>97</v>
      </c>
      <c r="AX4" s="45" t="s">
        <v>90</v>
      </c>
      <c r="AY4" s="40" t="s">
        <v>899</v>
      </c>
    </row>
    <row r="5" customFormat="false" ht="30" hidden="false" customHeight="true" outlineLevel="0" collapsed="false">
      <c r="A5" s="33" t="n">
        <v>3</v>
      </c>
      <c r="B5" s="34" t="s">
        <v>884</v>
      </c>
      <c r="C5" s="34" t="s">
        <v>179</v>
      </c>
      <c r="D5" s="34" t="s">
        <v>179</v>
      </c>
      <c r="E5" s="34" t="s">
        <v>886</v>
      </c>
      <c r="F5" s="33" t="s">
        <v>887</v>
      </c>
      <c r="G5" s="34" t="s">
        <v>194</v>
      </c>
      <c r="H5" s="34" t="s">
        <v>213</v>
      </c>
      <c r="I5" s="34" t="s">
        <v>194</v>
      </c>
      <c r="J5" s="33" t="s">
        <v>194</v>
      </c>
      <c r="K5" s="34" t="s">
        <v>194</v>
      </c>
      <c r="L5" s="34" t="s">
        <v>194</v>
      </c>
      <c r="M5" s="34" t="s">
        <v>194</v>
      </c>
      <c r="N5" s="33" t="s">
        <v>214</v>
      </c>
      <c r="O5" s="34" t="s">
        <v>900</v>
      </c>
      <c r="P5" s="33" t="s">
        <v>194</v>
      </c>
      <c r="Q5" s="34" t="s">
        <v>901</v>
      </c>
      <c r="R5" s="34" t="s">
        <v>902</v>
      </c>
      <c r="S5" s="34" t="s">
        <v>179</v>
      </c>
      <c r="T5" s="33" t="s">
        <v>201</v>
      </c>
      <c r="U5" s="33" t="s">
        <v>194</v>
      </c>
      <c r="V5" s="33"/>
      <c r="W5" s="33"/>
      <c r="X5" s="33"/>
      <c r="Y5" s="34"/>
      <c r="Z5" s="35" t="s">
        <v>203</v>
      </c>
      <c r="AA5" s="34" t="s">
        <v>903</v>
      </c>
      <c r="AB5" s="34" t="s">
        <v>179</v>
      </c>
      <c r="AC5" s="33" t="s">
        <v>110</v>
      </c>
      <c r="AD5" s="33" t="s">
        <v>904</v>
      </c>
      <c r="AE5" s="33" t="s">
        <v>203</v>
      </c>
      <c r="AF5" s="33" t="s">
        <v>206</v>
      </c>
      <c r="AG5" s="33" t="s">
        <v>203</v>
      </c>
      <c r="AH5" s="33" t="s">
        <v>242</v>
      </c>
      <c r="AI5" s="33" t="s">
        <v>207</v>
      </c>
      <c r="AJ5" s="33" t="s">
        <v>194</v>
      </c>
      <c r="AK5" s="33" t="s">
        <v>194</v>
      </c>
      <c r="AL5" s="33"/>
      <c r="AM5" s="33"/>
      <c r="AN5" s="33"/>
      <c r="AO5" s="35" t="s">
        <v>208</v>
      </c>
      <c r="AP5" s="33"/>
      <c r="AQ5" s="33"/>
      <c r="AR5" s="34" t="s">
        <v>214</v>
      </c>
      <c r="AS5" s="34" t="s">
        <v>194</v>
      </c>
      <c r="AT5" s="34" t="s">
        <v>221</v>
      </c>
      <c r="AU5" s="41" t="s">
        <v>75</v>
      </c>
      <c r="AV5" s="33" t="s">
        <v>81</v>
      </c>
      <c r="AW5" s="43" t="s">
        <v>97</v>
      </c>
      <c r="AX5" s="44" t="s">
        <v>88</v>
      </c>
      <c r="AY5" s="34"/>
    </row>
  </sheetData>
  <mergeCells count="1">
    <mergeCell ref="A1:A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8" min="18" style="0" width="34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1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22"/>
    <col collapsed="false" customWidth="true" hidden="false" outlineLevel="0" max="26" min="26" style="0" width="9"/>
    <col collapsed="false" customWidth="true" hidden="false" outlineLevel="0" max="27" min="27" style="0" width="30"/>
    <col collapsed="false" customWidth="true" hidden="false" outlineLevel="0" max="28" min="28" style="0" width="20"/>
    <col collapsed="false" customWidth="true" hidden="false" outlineLevel="0" max="29" min="29" style="0" width="13"/>
    <col collapsed="false" customWidth="true" hidden="false" outlineLevel="0" max="30" min="30" style="0" width="14"/>
    <col collapsed="false" customWidth="true" hidden="false" outlineLevel="0" max="31" min="31" style="0" width="9"/>
    <col collapsed="false" customWidth="true" hidden="false" outlineLevel="0" max="32" min="32" style="0" width="18"/>
    <col collapsed="false" customWidth="true" hidden="false" outlineLevel="0" max="33" min="33" style="0" width="9"/>
    <col collapsed="false" customWidth="true" hidden="false" outlineLevel="0" max="35" min="34" style="0" width="8"/>
    <col collapsed="false" customWidth="true" hidden="false" outlineLevel="0" max="37" min="36" style="0" width="11"/>
    <col collapsed="false" customWidth="true" hidden="false" outlineLevel="0" max="38" min="38" style="0" width="8"/>
    <col collapsed="false" customWidth="true" hidden="false" outlineLevel="0" max="39" min="39" style="0" width="6"/>
    <col collapsed="false" customWidth="true" hidden="false" outlineLevel="0" max="40" min="40" style="0" width="9"/>
    <col collapsed="false" customWidth="true" hidden="false" outlineLevel="0" max="41" min="41" style="0" width="8"/>
    <col collapsed="false" customWidth="true" hidden="false" outlineLevel="0" max="42" min="42" style="0" width="10"/>
    <col collapsed="false" customWidth="true" hidden="false" outlineLevel="0" max="43" min="43" style="0" width="7"/>
    <col collapsed="false" customWidth="true" hidden="false" outlineLevel="0" max="45" min="44" style="0" width="18"/>
    <col collapsed="false" customWidth="true" hidden="false" outlineLevel="0" max="47" min="46" style="0" width="22"/>
    <col collapsed="false" customWidth="true" hidden="false" outlineLevel="0" max="48" min="48" style="0" width="13"/>
    <col collapsed="false" customWidth="true" hidden="false" outlineLevel="0" max="49" min="49" style="0" width="11"/>
    <col collapsed="false" customWidth="true" hidden="false" outlineLevel="0" max="50" min="50" style="0" width="9"/>
    <col collapsed="false" customWidth="true" hidden="false" outlineLevel="0" max="51" min="51" style="0" width="40"/>
  </cols>
  <sheetData>
    <row r="1" customFormat="false" ht="21.75" hidden="false" customHeight="true" outlineLevel="0" collapsed="false">
      <c r="A1" s="31" t="s">
        <v>905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</row>
    <row r="2" customFormat="false" ht="19.4" hidden="false" customHeight="false" outlineLevel="0" collapsed="false">
      <c r="A2" s="32" t="s">
        <v>140</v>
      </c>
      <c r="B2" s="32" t="s">
        <v>141</v>
      </c>
      <c r="C2" s="32" t="s">
        <v>142</v>
      </c>
      <c r="D2" s="32" t="s">
        <v>143</v>
      </c>
      <c r="E2" s="32" t="s">
        <v>144</v>
      </c>
      <c r="F2" s="32" t="s">
        <v>145</v>
      </c>
      <c r="G2" s="32" t="s">
        <v>146</v>
      </c>
      <c r="H2" s="32" t="s">
        <v>147</v>
      </c>
      <c r="I2" s="32" t="s">
        <v>148</v>
      </c>
      <c r="J2" s="32" t="s">
        <v>149</v>
      </c>
      <c r="K2" s="32" t="s">
        <v>150</v>
      </c>
      <c r="L2" s="32" t="s">
        <v>151</v>
      </c>
      <c r="M2" s="32" t="s">
        <v>152</v>
      </c>
      <c r="N2" s="32" t="s">
        <v>153</v>
      </c>
      <c r="O2" s="32" t="s">
        <v>154</v>
      </c>
      <c r="P2" s="32" t="s">
        <v>155</v>
      </c>
      <c r="Q2" s="32" t="s">
        <v>156</v>
      </c>
      <c r="R2" s="32" t="s">
        <v>157</v>
      </c>
      <c r="S2" s="32" t="s">
        <v>117</v>
      </c>
      <c r="T2" s="32" t="s">
        <v>158</v>
      </c>
      <c r="U2" s="32" t="s">
        <v>159</v>
      </c>
      <c r="V2" s="32" t="s">
        <v>160</v>
      </c>
      <c r="W2" s="32" t="s">
        <v>161</v>
      </c>
      <c r="X2" s="32" t="s">
        <v>162</v>
      </c>
      <c r="Y2" s="32" t="s">
        <v>163</v>
      </c>
      <c r="Z2" s="32" t="s">
        <v>164</v>
      </c>
      <c r="AA2" s="32" t="s">
        <v>165</v>
      </c>
      <c r="AB2" s="32" t="s">
        <v>166</v>
      </c>
      <c r="AC2" s="32" t="s">
        <v>167</v>
      </c>
      <c r="AD2" s="32" t="s">
        <v>168</v>
      </c>
      <c r="AE2" s="32" t="s">
        <v>169</v>
      </c>
      <c r="AF2" s="32" t="s">
        <v>170</v>
      </c>
      <c r="AG2" s="32" t="s">
        <v>171</v>
      </c>
      <c r="AH2" s="32" t="s">
        <v>172</v>
      </c>
      <c r="AI2" s="32" t="s">
        <v>173</v>
      </c>
      <c r="AJ2" s="32" t="s">
        <v>174</v>
      </c>
      <c r="AK2" s="32" t="s">
        <v>175</v>
      </c>
      <c r="AL2" s="32" t="s">
        <v>176</v>
      </c>
      <c r="AM2" s="32" t="s">
        <v>177</v>
      </c>
      <c r="AN2" s="32" t="s">
        <v>178</v>
      </c>
      <c r="AO2" s="32" t="s">
        <v>179</v>
      </c>
      <c r="AP2" s="32" t="s">
        <v>180</v>
      </c>
      <c r="AQ2" s="32" t="s">
        <v>181</v>
      </c>
      <c r="AR2" s="32" t="s">
        <v>182</v>
      </c>
      <c r="AS2" s="32" t="s">
        <v>183</v>
      </c>
      <c r="AT2" s="32" t="s">
        <v>184</v>
      </c>
      <c r="AU2" s="32" t="s">
        <v>185</v>
      </c>
      <c r="AV2" s="32" t="s">
        <v>186</v>
      </c>
      <c r="AW2" s="32" t="s">
        <v>187</v>
      </c>
      <c r="AX2" s="32" t="s">
        <v>188</v>
      </c>
      <c r="AY2" s="32" t="s">
        <v>189</v>
      </c>
    </row>
    <row r="3" customFormat="false" ht="30" hidden="false" customHeight="true" outlineLevel="0" collapsed="false">
      <c r="A3" s="33" t="n">
        <v>1</v>
      </c>
      <c r="B3" s="34" t="s">
        <v>906</v>
      </c>
      <c r="C3" s="34" t="s">
        <v>907</v>
      </c>
      <c r="D3" s="34" t="s">
        <v>907</v>
      </c>
      <c r="E3" s="34" t="s">
        <v>908</v>
      </c>
      <c r="F3" s="33" t="s">
        <v>909</v>
      </c>
      <c r="G3" s="34" t="s">
        <v>476</v>
      </c>
      <c r="H3" s="34" t="s">
        <v>910</v>
      </c>
      <c r="I3" s="34" t="s">
        <v>911</v>
      </c>
      <c r="J3" s="33" t="s">
        <v>912</v>
      </c>
      <c r="K3" s="34" t="s">
        <v>913</v>
      </c>
      <c r="L3" s="34" t="s">
        <v>914</v>
      </c>
      <c r="M3" s="34" t="s">
        <v>915</v>
      </c>
      <c r="N3" s="33" t="s">
        <v>916</v>
      </c>
      <c r="O3" s="34" t="s">
        <v>917</v>
      </c>
      <c r="P3" s="33" t="s">
        <v>918</v>
      </c>
      <c r="Q3" s="34" t="s">
        <v>919</v>
      </c>
      <c r="R3" s="34" t="s">
        <v>920</v>
      </c>
      <c r="S3" s="34" t="s">
        <v>295</v>
      </c>
      <c r="T3" s="33" t="s">
        <v>279</v>
      </c>
      <c r="U3" s="33" t="s">
        <v>296</v>
      </c>
      <c r="V3" s="33"/>
      <c r="W3" s="33"/>
      <c r="X3" s="33"/>
      <c r="Y3" s="34" t="s">
        <v>921</v>
      </c>
      <c r="Z3" s="35" t="s">
        <v>203</v>
      </c>
      <c r="AA3" s="34" t="s">
        <v>922</v>
      </c>
      <c r="AB3" s="34" t="s">
        <v>551</v>
      </c>
      <c r="AC3" s="33" t="s">
        <v>106</v>
      </c>
      <c r="AD3" s="33" t="s">
        <v>923</v>
      </c>
      <c r="AE3" s="33" t="s">
        <v>203</v>
      </c>
      <c r="AF3" s="33" t="s">
        <v>206</v>
      </c>
      <c r="AG3" s="33" t="s">
        <v>203</v>
      </c>
      <c r="AH3" s="33" t="s">
        <v>203</v>
      </c>
      <c r="AI3" s="33" t="s">
        <v>203</v>
      </c>
      <c r="AJ3" s="33" t="s">
        <v>81</v>
      </c>
      <c r="AK3" s="33" t="s">
        <v>194</v>
      </c>
      <c r="AL3" s="33"/>
      <c r="AM3" s="33"/>
      <c r="AN3" s="33"/>
      <c r="AO3" s="35" t="s">
        <v>208</v>
      </c>
      <c r="AP3" s="33"/>
      <c r="AQ3" s="33"/>
      <c r="AR3" s="34" t="s">
        <v>916</v>
      </c>
      <c r="AS3" s="34" t="s">
        <v>924</v>
      </c>
      <c r="AT3" s="34" t="s">
        <v>925</v>
      </c>
      <c r="AU3" s="35" t="s">
        <v>61</v>
      </c>
      <c r="AV3" s="33" t="s">
        <v>81</v>
      </c>
      <c r="AW3" s="36" t="s">
        <v>95</v>
      </c>
      <c r="AX3" s="42" t="s">
        <v>86</v>
      </c>
      <c r="AY3" s="34" t="s">
        <v>926</v>
      </c>
    </row>
    <row r="4" customFormat="false" ht="30" hidden="false" customHeight="true" outlineLevel="0" collapsed="false">
      <c r="A4" s="39" t="n">
        <v>2</v>
      </c>
      <c r="B4" s="40" t="s">
        <v>906</v>
      </c>
      <c r="C4" s="40" t="s">
        <v>907</v>
      </c>
      <c r="D4" s="40" t="s">
        <v>907</v>
      </c>
      <c r="E4" s="40" t="s">
        <v>908</v>
      </c>
      <c r="F4" s="39" t="s">
        <v>909</v>
      </c>
      <c r="G4" s="40" t="s">
        <v>476</v>
      </c>
      <c r="H4" s="40" t="s">
        <v>910</v>
      </c>
      <c r="I4" s="40" t="s">
        <v>911</v>
      </c>
      <c r="J4" s="39" t="s">
        <v>912</v>
      </c>
      <c r="K4" s="40" t="s">
        <v>913</v>
      </c>
      <c r="L4" s="40" t="s">
        <v>914</v>
      </c>
      <c r="M4" s="40" t="s">
        <v>915</v>
      </c>
      <c r="N4" s="39" t="s">
        <v>916</v>
      </c>
      <c r="O4" s="40" t="s">
        <v>927</v>
      </c>
      <c r="P4" s="39" t="s">
        <v>918</v>
      </c>
      <c r="Q4" s="40" t="s">
        <v>928</v>
      </c>
      <c r="R4" s="40" t="s">
        <v>929</v>
      </c>
      <c r="S4" s="40" t="s">
        <v>295</v>
      </c>
      <c r="T4" s="39" t="s">
        <v>279</v>
      </c>
      <c r="U4" s="39" t="s">
        <v>296</v>
      </c>
      <c r="V4" s="39"/>
      <c r="W4" s="39"/>
      <c r="X4" s="39"/>
      <c r="Y4" s="40" t="s">
        <v>921</v>
      </c>
      <c r="Z4" s="35" t="s">
        <v>203</v>
      </c>
      <c r="AA4" s="40" t="s">
        <v>922</v>
      </c>
      <c r="AB4" s="40" t="s">
        <v>551</v>
      </c>
      <c r="AC4" s="39" t="s">
        <v>106</v>
      </c>
      <c r="AD4" s="39" t="s">
        <v>923</v>
      </c>
      <c r="AE4" s="39" t="s">
        <v>203</v>
      </c>
      <c r="AF4" s="39" t="s">
        <v>206</v>
      </c>
      <c r="AG4" s="39" t="s">
        <v>203</v>
      </c>
      <c r="AH4" s="39" t="s">
        <v>203</v>
      </c>
      <c r="AI4" s="39" t="s">
        <v>203</v>
      </c>
      <c r="AJ4" s="39" t="s">
        <v>81</v>
      </c>
      <c r="AK4" s="39" t="s">
        <v>194</v>
      </c>
      <c r="AL4" s="39"/>
      <c r="AM4" s="39"/>
      <c r="AN4" s="39"/>
      <c r="AO4" s="35" t="s">
        <v>208</v>
      </c>
      <c r="AP4" s="39"/>
      <c r="AQ4" s="39"/>
      <c r="AR4" s="40" t="s">
        <v>916</v>
      </c>
      <c r="AS4" s="40" t="s">
        <v>924</v>
      </c>
      <c r="AT4" s="40" t="s">
        <v>925</v>
      </c>
      <c r="AU4" s="35" t="s">
        <v>61</v>
      </c>
      <c r="AV4" s="33" t="s">
        <v>81</v>
      </c>
      <c r="AW4" s="36" t="s">
        <v>95</v>
      </c>
      <c r="AX4" s="42" t="s">
        <v>86</v>
      </c>
      <c r="AY4" s="40" t="s">
        <v>926</v>
      </c>
    </row>
    <row r="5" customFormat="false" ht="30" hidden="false" customHeight="true" outlineLevel="0" collapsed="false">
      <c r="A5" s="33" t="n">
        <v>3</v>
      </c>
      <c r="B5" s="34" t="s">
        <v>906</v>
      </c>
      <c r="C5" s="34" t="s">
        <v>907</v>
      </c>
      <c r="D5" s="34" t="s">
        <v>907</v>
      </c>
      <c r="E5" s="34" t="s">
        <v>908</v>
      </c>
      <c r="F5" s="33" t="s">
        <v>909</v>
      </c>
      <c r="G5" s="34" t="s">
        <v>476</v>
      </c>
      <c r="H5" s="34" t="s">
        <v>910</v>
      </c>
      <c r="I5" s="34" t="s">
        <v>911</v>
      </c>
      <c r="J5" s="33" t="s">
        <v>912</v>
      </c>
      <c r="K5" s="34" t="s">
        <v>913</v>
      </c>
      <c r="L5" s="34" t="s">
        <v>914</v>
      </c>
      <c r="M5" s="34" t="s">
        <v>915</v>
      </c>
      <c r="N5" s="33" t="s">
        <v>916</v>
      </c>
      <c r="O5" s="34" t="s">
        <v>930</v>
      </c>
      <c r="P5" s="33" t="s">
        <v>918</v>
      </c>
      <c r="Q5" s="34" t="s">
        <v>931</v>
      </c>
      <c r="R5" s="34" t="s">
        <v>932</v>
      </c>
      <c r="S5" s="34" t="s">
        <v>295</v>
      </c>
      <c r="T5" s="33" t="s">
        <v>279</v>
      </c>
      <c r="U5" s="33" t="s">
        <v>296</v>
      </c>
      <c r="V5" s="33"/>
      <c r="W5" s="33"/>
      <c r="X5" s="33"/>
      <c r="Y5" s="34" t="s">
        <v>921</v>
      </c>
      <c r="Z5" s="35" t="s">
        <v>203</v>
      </c>
      <c r="AA5" s="34" t="s">
        <v>922</v>
      </c>
      <c r="AB5" s="34" t="s">
        <v>551</v>
      </c>
      <c r="AC5" s="33" t="s">
        <v>106</v>
      </c>
      <c r="AD5" s="33" t="s">
        <v>923</v>
      </c>
      <c r="AE5" s="33" t="s">
        <v>203</v>
      </c>
      <c r="AF5" s="33" t="s">
        <v>206</v>
      </c>
      <c r="AG5" s="33" t="s">
        <v>203</v>
      </c>
      <c r="AH5" s="33" t="s">
        <v>203</v>
      </c>
      <c r="AI5" s="33" t="s">
        <v>203</v>
      </c>
      <c r="AJ5" s="33" t="s">
        <v>81</v>
      </c>
      <c r="AK5" s="33" t="s">
        <v>194</v>
      </c>
      <c r="AL5" s="33"/>
      <c r="AM5" s="33"/>
      <c r="AN5" s="33"/>
      <c r="AO5" s="35" t="s">
        <v>208</v>
      </c>
      <c r="AP5" s="33"/>
      <c r="AQ5" s="33"/>
      <c r="AR5" s="34" t="s">
        <v>916</v>
      </c>
      <c r="AS5" s="34" t="s">
        <v>924</v>
      </c>
      <c r="AT5" s="34" t="s">
        <v>925</v>
      </c>
      <c r="AU5" s="35" t="s">
        <v>61</v>
      </c>
      <c r="AV5" s="33" t="s">
        <v>81</v>
      </c>
      <c r="AW5" s="37" t="s">
        <v>93</v>
      </c>
      <c r="AX5" s="38" t="s">
        <v>84</v>
      </c>
      <c r="AY5" s="34" t="s">
        <v>926</v>
      </c>
    </row>
    <row r="6" customFormat="false" ht="30" hidden="false" customHeight="true" outlineLevel="0" collapsed="false">
      <c r="A6" s="39" t="n">
        <v>4</v>
      </c>
      <c r="B6" s="40" t="s">
        <v>906</v>
      </c>
      <c r="C6" s="40" t="s">
        <v>907</v>
      </c>
      <c r="D6" s="40" t="s">
        <v>907</v>
      </c>
      <c r="E6" s="40" t="s">
        <v>908</v>
      </c>
      <c r="F6" s="39" t="s">
        <v>909</v>
      </c>
      <c r="G6" s="40" t="s">
        <v>476</v>
      </c>
      <c r="H6" s="40" t="s">
        <v>910</v>
      </c>
      <c r="I6" s="40" t="s">
        <v>911</v>
      </c>
      <c r="J6" s="39" t="s">
        <v>912</v>
      </c>
      <c r="K6" s="40" t="s">
        <v>913</v>
      </c>
      <c r="L6" s="40" t="s">
        <v>914</v>
      </c>
      <c r="M6" s="40" t="s">
        <v>915</v>
      </c>
      <c r="N6" s="39" t="s">
        <v>916</v>
      </c>
      <c r="O6" s="40" t="s">
        <v>933</v>
      </c>
      <c r="P6" s="39" t="s">
        <v>918</v>
      </c>
      <c r="Q6" s="40" t="s">
        <v>934</v>
      </c>
      <c r="R6" s="40" t="s">
        <v>935</v>
      </c>
      <c r="S6" s="40" t="s">
        <v>295</v>
      </c>
      <c r="T6" s="39" t="s">
        <v>279</v>
      </c>
      <c r="U6" s="39" t="s">
        <v>296</v>
      </c>
      <c r="V6" s="39"/>
      <c r="W6" s="39"/>
      <c r="X6" s="39"/>
      <c r="Y6" s="40" t="s">
        <v>921</v>
      </c>
      <c r="Z6" s="35" t="s">
        <v>203</v>
      </c>
      <c r="AA6" s="40" t="s">
        <v>922</v>
      </c>
      <c r="AB6" s="40" t="s">
        <v>551</v>
      </c>
      <c r="AC6" s="39" t="s">
        <v>106</v>
      </c>
      <c r="AD6" s="39" t="s">
        <v>923</v>
      </c>
      <c r="AE6" s="39" t="s">
        <v>203</v>
      </c>
      <c r="AF6" s="39" t="s">
        <v>206</v>
      </c>
      <c r="AG6" s="39" t="s">
        <v>203</v>
      </c>
      <c r="AH6" s="39" t="s">
        <v>203</v>
      </c>
      <c r="AI6" s="39" t="s">
        <v>203</v>
      </c>
      <c r="AJ6" s="39" t="s">
        <v>81</v>
      </c>
      <c r="AK6" s="39" t="s">
        <v>194</v>
      </c>
      <c r="AL6" s="39"/>
      <c r="AM6" s="39"/>
      <c r="AN6" s="39"/>
      <c r="AO6" s="35" t="s">
        <v>208</v>
      </c>
      <c r="AP6" s="39"/>
      <c r="AQ6" s="39"/>
      <c r="AR6" s="40" t="s">
        <v>916</v>
      </c>
      <c r="AS6" s="40" t="s">
        <v>924</v>
      </c>
      <c r="AT6" s="40" t="s">
        <v>925</v>
      </c>
      <c r="AU6" s="35" t="s">
        <v>61</v>
      </c>
      <c r="AV6" s="33" t="s">
        <v>81</v>
      </c>
      <c r="AW6" s="37" t="s">
        <v>93</v>
      </c>
      <c r="AX6" s="38" t="s">
        <v>84</v>
      </c>
      <c r="AY6" s="40" t="s">
        <v>926</v>
      </c>
    </row>
    <row r="7" customFormat="false" ht="30" hidden="false" customHeight="true" outlineLevel="0" collapsed="false">
      <c r="A7" s="33" t="n">
        <v>5</v>
      </c>
      <c r="B7" s="34" t="s">
        <v>906</v>
      </c>
      <c r="C7" s="34" t="s">
        <v>907</v>
      </c>
      <c r="D7" s="34" t="s">
        <v>907</v>
      </c>
      <c r="E7" s="34" t="s">
        <v>908</v>
      </c>
      <c r="F7" s="33" t="s">
        <v>909</v>
      </c>
      <c r="G7" s="34" t="s">
        <v>476</v>
      </c>
      <c r="H7" s="34" t="s">
        <v>910</v>
      </c>
      <c r="I7" s="34" t="s">
        <v>911</v>
      </c>
      <c r="J7" s="33" t="s">
        <v>912</v>
      </c>
      <c r="K7" s="34" t="s">
        <v>913</v>
      </c>
      <c r="L7" s="34" t="s">
        <v>914</v>
      </c>
      <c r="M7" s="34" t="s">
        <v>915</v>
      </c>
      <c r="N7" s="33" t="s">
        <v>916</v>
      </c>
      <c r="O7" s="34" t="s">
        <v>936</v>
      </c>
      <c r="P7" s="33" t="s">
        <v>918</v>
      </c>
      <c r="Q7" s="34" t="s">
        <v>937</v>
      </c>
      <c r="R7" s="34" t="s">
        <v>938</v>
      </c>
      <c r="S7" s="34" t="s">
        <v>295</v>
      </c>
      <c r="T7" s="33" t="s">
        <v>279</v>
      </c>
      <c r="U7" s="33" t="s">
        <v>296</v>
      </c>
      <c r="V7" s="33"/>
      <c r="W7" s="33"/>
      <c r="X7" s="33"/>
      <c r="Y7" s="34" t="s">
        <v>921</v>
      </c>
      <c r="Z7" s="35" t="s">
        <v>203</v>
      </c>
      <c r="AA7" s="34" t="s">
        <v>922</v>
      </c>
      <c r="AB7" s="34" t="s">
        <v>551</v>
      </c>
      <c r="AC7" s="33" t="s">
        <v>106</v>
      </c>
      <c r="AD7" s="33" t="s">
        <v>923</v>
      </c>
      <c r="AE7" s="33" t="s">
        <v>203</v>
      </c>
      <c r="AF7" s="33" t="s">
        <v>206</v>
      </c>
      <c r="AG7" s="33" t="s">
        <v>203</v>
      </c>
      <c r="AH7" s="33" t="s">
        <v>203</v>
      </c>
      <c r="AI7" s="33" t="s">
        <v>203</v>
      </c>
      <c r="AJ7" s="33" t="s">
        <v>81</v>
      </c>
      <c r="AK7" s="33" t="s">
        <v>194</v>
      </c>
      <c r="AL7" s="33"/>
      <c r="AM7" s="33"/>
      <c r="AN7" s="33"/>
      <c r="AO7" s="35" t="s">
        <v>208</v>
      </c>
      <c r="AP7" s="33"/>
      <c r="AQ7" s="33"/>
      <c r="AR7" s="34" t="s">
        <v>916</v>
      </c>
      <c r="AS7" s="34" t="s">
        <v>924</v>
      </c>
      <c r="AT7" s="34" t="s">
        <v>925</v>
      </c>
      <c r="AU7" s="35" t="s">
        <v>61</v>
      </c>
      <c r="AV7" s="33" t="s">
        <v>81</v>
      </c>
      <c r="AW7" s="36" t="s">
        <v>95</v>
      </c>
      <c r="AX7" s="42" t="s">
        <v>86</v>
      </c>
      <c r="AY7" s="34" t="s">
        <v>926</v>
      </c>
    </row>
    <row r="8" customFormat="false" ht="30" hidden="false" customHeight="true" outlineLevel="0" collapsed="false">
      <c r="A8" s="39" t="n">
        <v>6</v>
      </c>
      <c r="B8" s="40" t="s">
        <v>906</v>
      </c>
      <c r="C8" s="40" t="s">
        <v>907</v>
      </c>
      <c r="D8" s="40" t="s">
        <v>907</v>
      </c>
      <c r="E8" s="40" t="s">
        <v>908</v>
      </c>
      <c r="F8" s="39" t="s">
        <v>909</v>
      </c>
      <c r="G8" s="40" t="s">
        <v>476</v>
      </c>
      <c r="H8" s="40" t="s">
        <v>910</v>
      </c>
      <c r="I8" s="40" t="s">
        <v>911</v>
      </c>
      <c r="J8" s="39" t="s">
        <v>912</v>
      </c>
      <c r="K8" s="40" t="s">
        <v>913</v>
      </c>
      <c r="L8" s="40" t="s">
        <v>914</v>
      </c>
      <c r="M8" s="40" t="s">
        <v>915</v>
      </c>
      <c r="N8" s="39" t="s">
        <v>916</v>
      </c>
      <c r="O8" s="40" t="s">
        <v>939</v>
      </c>
      <c r="P8" s="39" t="s">
        <v>918</v>
      </c>
      <c r="Q8" s="40" t="s">
        <v>940</v>
      </c>
      <c r="R8" s="40" t="s">
        <v>941</v>
      </c>
      <c r="S8" s="40" t="s">
        <v>295</v>
      </c>
      <c r="T8" s="39" t="s">
        <v>279</v>
      </c>
      <c r="U8" s="39" t="s">
        <v>296</v>
      </c>
      <c r="V8" s="39"/>
      <c r="W8" s="39"/>
      <c r="X8" s="39"/>
      <c r="Y8" s="40" t="s">
        <v>921</v>
      </c>
      <c r="Z8" s="35" t="s">
        <v>203</v>
      </c>
      <c r="AA8" s="40" t="s">
        <v>922</v>
      </c>
      <c r="AB8" s="40" t="s">
        <v>551</v>
      </c>
      <c r="AC8" s="39" t="s">
        <v>106</v>
      </c>
      <c r="AD8" s="39" t="s">
        <v>923</v>
      </c>
      <c r="AE8" s="39" t="s">
        <v>203</v>
      </c>
      <c r="AF8" s="39" t="s">
        <v>206</v>
      </c>
      <c r="AG8" s="39" t="s">
        <v>203</v>
      </c>
      <c r="AH8" s="39" t="s">
        <v>203</v>
      </c>
      <c r="AI8" s="39" t="s">
        <v>203</v>
      </c>
      <c r="AJ8" s="39" t="s">
        <v>81</v>
      </c>
      <c r="AK8" s="39" t="s">
        <v>194</v>
      </c>
      <c r="AL8" s="39"/>
      <c r="AM8" s="39"/>
      <c r="AN8" s="39"/>
      <c r="AO8" s="35" t="s">
        <v>208</v>
      </c>
      <c r="AP8" s="39"/>
      <c r="AQ8" s="39"/>
      <c r="AR8" s="40" t="s">
        <v>916</v>
      </c>
      <c r="AS8" s="40" t="s">
        <v>924</v>
      </c>
      <c r="AT8" s="40" t="s">
        <v>925</v>
      </c>
      <c r="AU8" s="35" t="s">
        <v>61</v>
      </c>
      <c r="AV8" s="33" t="s">
        <v>81</v>
      </c>
      <c r="AW8" s="36" t="s">
        <v>95</v>
      </c>
      <c r="AX8" s="42" t="s">
        <v>86</v>
      </c>
      <c r="AY8" s="40" t="s">
        <v>926</v>
      </c>
    </row>
    <row r="9" customFormat="false" ht="30" hidden="false" customHeight="true" outlineLevel="0" collapsed="false">
      <c r="A9" s="33" t="n">
        <v>7</v>
      </c>
      <c r="B9" s="34" t="s">
        <v>906</v>
      </c>
      <c r="C9" s="34" t="s">
        <v>907</v>
      </c>
      <c r="D9" s="34" t="s">
        <v>907</v>
      </c>
      <c r="E9" s="34" t="s">
        <v>908</v>
      </c>
      <c r="F9" s="33" t="s">
        <v>909</v>
      </c>
      <c r="G9" s="34" t="s">
        <v>476</v>
      </c>
      <c r="H9" s="34" t="s">
        <v>910</v>
      </c>
      <c r="I9" s="34" t="s">
        <v>911</v>
      </c>
      <c r="J9" s="33" t="s">
        <v>912</v>
      </c>
      <c r="K9" s="34" t="s">
        <v>913</v>
      </c>
      <c r="L9" s="34" t="s">
        <v>914</v>
      </c>
      <c r="M9" s="34" t="s">
        <v>915</v>
      </c>
      <c r="N9" s="33" t="s">
        <v>916</v>
      </c>
      <c r="O9" s="34" t="s">
        <v>942</v>
      </c>
      <c r="P9" s="33" t="s">
        <v>275</v>
      </c>
      <c r="Q9" s="34" t="s">
        <v>943</v>
      </c>
      <c r="R9" s="34" t="s">
        <v>944</v>
      </c>
      <c r="S9" s="34" t="s">
        <v>511</v>
      </c>
      <c r="T9" s="33" t="s">
        <v>279</v>
      </c>
      <c r="U9" s="33" t="s">
        <v>296</v>
      </c>
      <c r="V9" s="33"/>
      <c r="W9" s="33"/>
      <c r="X9" s="33"/>
      <c r="Y9" s="34"/>
      <c r="Z9" s="35" t="s">
        <v>203</v>
      </c>
      <c r="AA9" s="34" t="s">
        <v>945</v>
      </c>
      <c r="AB9" s="34" t="s">
        <v>300</v>
      </c>
      <c r="AC9" s="33" t="s">
        <v>108</v>
      </c>
      <c r="AD9" s="33" t="s">
        <v>335</v>
      </c>
      <c r="AE9" s="33" t="s">
        <v>203</v>
      </c>
      <c r="AF9" s="33" t="s">
        <v>206</v>
      </c>
      <c r="AG9" s="33" t="s">
        <v>203</v>
      </c>
      <c r="AH9" s="33" t="s">
        <v>203</v>
      </c>
      <c r="AI9" s="33" t="s">
        <v>207</v>
      </c>
      <c r="AJ9" s="33" t="s">
        <v>194</v>
      </c>
      <c r="AK9" s="33" t="s">
        <v>194</v>
      </c>
      <c r="AL9" s="33"/>
      <c r="AM9" s="33"/>
      <c r="AN9" s="33"/>
      <c r="AO9" s="35" t="s">
        <v>208</v>
      </c>
      <c r="AP9" s="33"/>
      <c r="AQ9" s="33"/>
      <c r="AR9" s="34" t="s">
        <v>916</v>
      </c>
      <c r="AS9" s="34" t="s">
        <v>924</v>
      </c>
      <c r="AT9" s="34" t="s">
        <v>925</v>
      </c>
      <c r="AU9" s="35" t="s">
        <v>61</v>
      </c>
      <c r="AV9" s="33" t="s">
        <v>81</v>
      </c>
      <c r="AW9" s="36" t="s">
        <v>95</v>
      </c>
      <c r="AX9" s="42" t="s">
        <v>86</v>
      </c>
      <c r="AY9" s="34" t="s">
        <v>946</v>
      </c>
    </row>
    <row r="10" customFormat="false" ht="30" hidden="false" customHeight="true" outlineLevel="0" collapsed="false">
      <c r="A10" s="39" t="n">
        <v>8</v>
      </c>
      <c r="B10" s="40" t="s">
        <v>906</v>
      </c>
      <c r="C10" s="40" t="s">
        <v>947</v>
      </c>
      <c r="D10" s="40" t="s">
        <v>947</v>
      </c>
      <c r="E10" s="40" t="s">
        <v>908</v>
      </c>
      <c r="F10" s="39" t="s">
        <v>909</v>
      </c>
      <c r="G10" s="40" t="s">
        <v>476</v>
      </c>
      <c r="H10" s="40" t="s">
        <v>910</v>
      </c>
      <c r="I10" s="40" t="s">
        <v>911</v>
      </c>
      <c r="J10" s="39" t="s">
        <v>912</v>
      </c>
      <c r="K10" s="40" t="s">
        <v>913</v>
      </c>
      <c r="L10" s="40" t="s">
        <v>914</v>
      </c>
      <c r="M10" s="40" t="s">
        <v>915</v>
      </c>
      <c r="N10" s="39" t="s">
        <v>916</v>
      </c>
      <c r="O10" s="40" t="s">
        <v>948</v>
      </c>
      <c r="P10" s="39" t="s">
        <v>275</v>
      </c>
      <c r="Q10" s="40" t="s">
        <v>949</v>
      </c>
      <c r="R10" s="40" t="s">
        <v>950</v>
      </c>
      <c r="S10" s="40" t="s">
        <v>295</v>
      </c>
      <c r="T10" s="39" t="s">
        <v>279</v>
      </c>
      <c r="U10" s="39" t="s">
        <v>296</v>
      </c>
      <c r="V10" s="39"/>
      <c r="W10" s="39"/>
      <c r="X10" s="39"/>
      <c r="Y10" s="40"/>
      <c r="Z10" s="36" t="s">
        <v>97</v>
      </c>
      <c r="AA10" s="40" t="s">
        <v>562</v>
      </c>
      <c r="AB10" s="40" t="s">
        <v>300</v>
      </c>
      <c r="AC10" s="39" t="s">
        <v>106</v>
      </c>
      <c r="AD10" s="39" t="s">
        <v>923</v>
      </c>
      <c r="AE10" s="39" t="s">
        <v>203</v>
      </c>
      <c r="AF10" s="39" t="s">
        <v>206</v>
      </c>
      <c r="AG10" s="39" t="s">
        <v>203</v>
      </c>
      <c r="AH10" s="39" t="s">
        <v>203</v>
      </c>
      <c r="AI10" s="39" t="s">
        <v>207</v>
      </c>
      <c r="AJ10" s="39" t="s">
        <v>194</v>
      </c>
      <c r="AK10" s="39" t="s">
        <v>194</v>
      </c>
      <c r="AL10" s="39"/>
      <c r="AM10" s="39"/>
      <c r="AN10" s="39"/>
      <c r="AO10" s="39"/>
      <c r="AP10" s="39"/>
      <c r="AQ10" s="39"/>
      <c r="AR10" s="40" t="s">
        <v>916</v>
      </c>
      <c r="AS10" s="40" t="s">
        <v>924</v>
      </c>
      <c r="AT10" s="40" t="s">
        <v>925</v>
      </c>
      <c r="AU10" s="35" t="s">
        <v>61</v>
      </c>
      <c r="AV10" s="33" t="s">
        <v>81</v>
      </c>
      <c r="AW10" s="43" t="s">
        <v>97</v>
      </c>
      <c r="AX10" s="44" t="s">
        <v>88</v>
      </c>
      <c r="AY10" s="40"/>
    </row>
    <row r="11" customFormat="false" ht="30" hidden="false" customHeight="true" outlineLevel="0" collapsed="false">
      <c r="A11" s="33" t="n">
        <v>9</v>
      </c>
      <c r="B11" s="34" t="s">
        <v>906</v>
      </c>
      <c r="C11" s="34" t="s">
        <v>266</v>
      </c>
      <c r="D11" s="34" t="s">
        <v>266</v>
      </c>
      <c r="E11" s="34" t="s">
        <v>908</v>
      </c>
      <c r="F11" s="33" t="s">
        <v>909</v>
      </c>
      <c r="G11" s="34" t="s">
        <v>476</v>
      </c>
      <c r="H11" s="34" t="s">
        <v>910</v>
      </c>
      <c r="I11" s="34" t="s">
        <v>911</v>
      </c>
      <c r="J11" s="33" t="s">
        <v>912</v>
      </c>
      <c r="K11" s="34" t="s">
        <v>913</v>
      </c>
      <c r="L11" s="34" t="s">
        <v>914</v>
      </c>
      <c r="M11" s="34" t="s">
        <v>915</v>
      </c>
      <c r="N11" s="33" t="s">
        <v>916</v>
      </c>
      <c r="O11" s="34" t="s">
        <v>274</v>
      </c>
      <c r="P11" s="33" t="s">
        <v>275</v>
      </c>
      <c r="Q11" s="34" t="s">
        <v>951</v>
      </c>
      <c r="R11" s="34" t="s">
        <v>952</v>
      </c>
      <c r="S11" s="34" t="s">
        <v>278</v>
      </c>
      <c r="T11" s="33" t="s">
        <v>279</v>
      </c>
      <c r="U11" s="33" t="s">
        <v>953</v>
      </c>
      <c r="V11" s="33"/>
      <c r="W11" s="33"/>
      <c r="X11" s="33"/>
      <c r="Y11" s="34" t="s">
        <v>954</v>
      </c>
      <c r="Z11" s="35" t="s">
        <v>203</v>
      </c>
      <c r="AA11" s="34" t="s">
        <v>955</v>
      </c>
      <c r="AB11" s="34" t="s">
        <v>956</v>
      </c>
      <c r="AC11" s="33" t="s">
        <v>106</v>
      </c>
      <c r="AD11" s="33" t="s">
        <v>286</v>
      </c>
      <c r="AE11" s="33" t="s">
        <v>203</v>
      </c>
      <c r="AF11" s="33" t="s">
        <v>206</v>
      </c>
      <c r="AG11" s="33" t="s">
        <v>203</v>
      </c>
      <c r="AH11" s="33" t="s">
        <v>203</v>
      </c>
      <c r="AI11" s="33" t="s">
        <v>207</v>
      </c>
      <c r="AJ11" s="33" t="s">
        <v>194</v>
      </c>
      <c r="AK11" s="33" t="s">
        <v>194</v>
      </c>
      <c r="AL11" s="33"/>
      <c r="AM11" s="33"/>
      <c r="AN11" s="35" t="s">
        <v>208</v>
      </c>
      <c r="AO11" s="35" t="s">
        <v>208</v>
      </c>
      <c r="AP11" s="33"/>
      <c r="AQ11" s="33"/>
      <c r="AR11" s="34" t="s">
        <v>916</v>
      </c>
      <c r="AS11" s="34" t="s">
        <v>924</v>
      </c>
      <c r="AT11" s="34" t="s">
        <v>925</v>
      </c>
      <c r="AU11" s="35" t="s">
        <v>61</v>
      </c>
      <c r="AV11" s="33" t="s">
        <v>81</v>
      </c>
      <c r="AW11" s="36" t="s">
        <v>95</v>
      </c>
      <c r="AX11" s="42" t="s">
        <v>86</v>
      </c>
      <c r="AY11" s="34"/>
    </row>
    <row r="12" customFormat="false" ht="30" hidden="false" customHeight="true" outlineLevel="0" collapsed="false">
      <c r="A12" s="39" t="n">
        <v>10</v>
      </c>
      <c r="B12" s="40" t="s">
        <v>906</v>
      </c>
      <c r="C12" s="40" t="s">
        <v>957</v>
      </c>
      <c r="D12" s="40" t="s">
        <v>957</v>
      </c>
      <c r="E12" s="40" t="s">
        <v>908</v>
      </c>
      <c r="F12" s="39" t="s">
        <v>909</v>
      </c>
      <c r="G12" s="40" t="s">
        <v>476</v>
      </c>
      <c r="H12" s="40" t="s">
        <v>910</v>
      </c>
      <c r="I12" s="40" t="s">
        <v>911</v>
      </c>
      <c r="J12" s="39" t="s">
        <v>912</v>
      </c>
      <c r="K12" s="40" t="s">
        <v>913</v>
      </c>
      <c r="L12" s="40" t="s">
        <v>914</v>
      </c>
      <c r="M12" s="40" t="s">
        <v>915</v>
      </c>
      <c r="N12" s="39" t="s">
        <v>916</v>
      </c>
      <c r="O12" s="40" t="s">
        <v>958</v>
      </c>
      <c r="P12" s="39" t="s">
        <v>275</v>
      </c>
      <c r="Q12" s="40" t="s">
        <v>959</v>
      </c>
      <c r="R12" s="40" t="s">
        <v>960</v>
      </c>
      <c r="S12" s="40" t="s">
        <v>200</v>
      </c>
      <c r="T12" s="39" t="s">
        <v>201</v>
      </c>
      <c r="U12" s="39" t="s">
        <v>194</v>
      </c>
      <c r="V12" s="39"/>
      <c r="W12" s="39"/>
      <c r="X12" s="39"/>
      <c r="Y12" s="40"/>
      <c r="Z12" s="35" t="s">
        <v>203</v>
      </c>
      <c r="AA12" s="40" t="s">
        <v>961</v>
      </c>
      <c r="AB12" s="40" t="s">
        <v>200</v>
      </c>
      <c r="AC12" s="39" t="s">
        <v>108</v>
      </c>
      <c r="AD12" s="39" t="s">
        <v>962</v>
      </c>
      <c r="AE12" s="39" t="s">
        <v>203</v>
      </c>
      <c r="AF12" s="39" t="s">
        <v>206</v>
      </c>
      <c r="AG12" s="39" t="s">
        <v>203</v>
      </c>
      <c r="AH12" s="39" t="s">
        <v>203</v>
      </c>
      <c r="AI12" s="39" t="s">
        <v>207</v>
      </c>
      <c r="AJ12" s="39" t="s">
        <v>194</v>
      </c>
      <c r="AK12" s="39" t="s">
        <v>194</v>
      </c>
      <c r="AL12" s="39"/>
      <c r="AM12" s="39"/>
      <c r="AN12" s="35" t="s">
        <v>208</v>
      </c>
      <c r="AO12" s="39"/>
      <c r="AP12" s="39"/>
      <c r="AQ12" s="39"/>
      <c r="AR12" s="40" t="s">
        <v>916</v>
      </c>
      <c r="AS12" s="40" t="s">
        <v>924</v>
      </c>
      <c r="AT12" s="40" t="s">
        <v>925</v>
      </c>
      <c r="AU12" s="35" t="s">
        <v>61</v>
      </c>
      <c r="AV12" s="33" t="s">
        <v>81</v>
      </c>
      <c r="AW12" s="36" t="s">
        <v>95</v>
      </c>
      <c r="AX12" s="42" t="s">
        <v>86</v>
      </c>
      <c r="AY12" s="40" t="s">
        <v>963</v>
      </c>
    </row>
    <row r="13" customFormat="false" ht="30" hidden="false" customHeight="true" outlineLevel="0" collapsed="false">
      <c r="A13" s="33" t="n">
        <v>11</v>
      </c>
      <c r="B13" s="34" t="s">
        <v>906</v>
      </c>
      <c r="C13" s="34" t="s">
        <v>403</v>
      </c>
      <c r="D13" s="34" t="s">
        <v>403</v>
      </c>
      <c r="E13" s="34" t="s">
        <v>908</v>
      </c>
      <c r="F13" s="33" t="s">
        <v>909</v>
      </c>
      <c r="G13" s="34" t="s">
        <v>476</v>
      </c>
      <c r="H13" s="34" t="s">
        <v>910</v>
      </c>
      <c r="I13" s="34" t="s">
        <v>911</v>
      </c>
      <c r="J13" s="33" t="s">
        <v>912</v>
      </c>
      <c r="K13" s="34" t="s">
        <v>913</v>
      </c>
      <c r="L13" s="34" t="s">
        <v>914</v>
      </c>
      <c r="M13" s="34" t="s">
        <v>915</v>
      </c>
      <c r="N13" s="33" t="s">
        <v>916</v>
      </c>
      <c r="O13" s="34" t="s">
        <v>964</v>
      </c>
      <c r="P13" s="33" t="s">
        <v>275</v>
      </c>
      <c r="Q13" s="34" t="s">
        <v>965</v>
      </c>
      <c r="R13" s="34" t="s">
        <v>966</v>
      </c>
      <c r="S13" s="34" t="s">
        <v>330</v>
      </c>
      <c r="T13" s="33" t="s">
        <v>520</v>
      </c>
      <c r="U13" s="33" t="s">
        <v>194</v>
      </c>
      <c r="V13" s="33"/>
      <c r="W13" s="33"/>
      <c r="X13" s="33"/>
      <c r="Y13" s="34" t="s">
        <v>967</v>
      </c>
      <c r="Z13" s="35" t="s">
        <v>203</v>
      </c>
      <c r="AA13" s="34" t="s">
        <v>968</v>
      </c>
      <c r="AB13" s="34" t="s">
        <v>969</v>
      </c>
      <c r="AC13" s="33" t="s">
        <v>108</v>
      </c>
      <c r="AD13" s="33" t="s">
        <v>335</v>
      </c>
      <c r="AE13" s="33" t="s">
        <v>203</v>
      </c>
      <c r="AF13" s="33" t="s">
        <v>206</v>
      </c>
      <c r="AG13" s="33" t="s">
        <v>203</v>
      </c>
      <c r="AH13" s="33" t="s">
        <v>203</v>
      </c>
      <c r="AI13" s="33" t="s">
        <v>207</v>
      </c>
      <c r="AJ13" s="33" t="s">
        <v>194</v>
      </c>
      <c r="AK13" s="33" t="s">
        <v>194</v>
      </c>
      <c r="AL13" s="33"/>
      <c r="AM13" s="35" t="s">
        <v>208</v>
      </c>
      <c r="AN13" s="33"/>
      <c r="AO13" s="33"/>
      <c r="AP13" s="33"/>
      <c r="AQ13" s="33"/>
      <c r="AR13" s="34" t="s">
        <v>916</v>
      </c>
      <c r="AS13" s="34" t="s">
        <v>924</v>
      </c>
      <c r="AT13" s="34" t="s">
        <v>925</v>
      </c>
      <c r="AU13" s="35" t="s">
        <v>61</v>
      </c>
      <c r="AV13" s="33" t="s">
        <v>81</v>
      </c>
      <c r="AW13" s="36" t="s">
        <v>95</v>
      </c>
      <c r="AX13" s="42" t="s">
        <v>86</v>
      </c>
      <c r="AY13" s="34"/>
    </row>
    <row r="14" customFormat="false" ht="30" hidden="false" customHeight="true" outlineLevel="0" collapsed="false">
      <c r="A14" s="39" t="n">
        <v>12</v>
      </c>
      <c r="B14" s="40" t="s">
        <v>906</v>
      </c>
      <c r="C14" s="40" t="s">
        <v>970</v>
      </c>
      <c r="D14" s="40" t="s">
        <v>970</v>
      </c>
      <c r="E14" s="40" t="s">
        <v>908</v>
      </c>
      <c r="F14" s="39" t="s">
        <v>909</v>
      </c>
      <c r="G14" s="40" t="s">
        <v>194</v>
      </c>
      <c r="H14" s="40" t="s">
        <v>213</v>
      </c>
      <c r="I14" s="40" t="s">
        <v>194</v>
      </c>
      <c r="J14" s="39" t="s">
        <v>194</v>
      </c>
      <c r="K14" s="40" t="s">
        <v>194</v>
      </c>
      <c r="L14" s="40" t="s">
        <v>194</v>
      </c>
      <c r="M14" s="40" t="s">
        <v>194</v>
      </c>
      <c r="N14" s="39" t="s">
        <v>214</v>
      </c>
      <c r="O14" s="40" t="s">
        <v>971</v>
      </c>
      <c r="P14" s="39" t="s">
        <v>194</v>
      </c>
      <c r="Q14" s="40" t="s">
        <v>972</v>
      </c>
      <c r="R14" s="40" t="s">
        <v>973</v>
      </c>
      <c r="S14" s="40" t="s">
        <v>178</v>
      </c>
      <c r="T14" s="39" t="s">
        <v>339</v>
      </c>
      <c r="U14" s="39" t="s">
        <v>974</v>
      </c>
      <c r="V14" s="39"/>
      <c r="W14" s="39"/>
      <c r="X14" s="39"/>
      <c r="Y14" s="40" t="s">
        <v>975</v>
      </c>
      <c r="Z14" s="35" t="s">
        <v>203</v>
      </c>
      <c r="AA14" s="40" t="s">
        <v>976</v>
      </c>
      <c r="AB14" s="40" t="s">
        <v>348</v>
      </c>
      <c r="AC14" s="39" t="s">
        <v>110</v>
      </c>
      <c r="AD14" s="39" t="s">
        <v>962</v>
      </c>
      <c r="AE14" s="39" t="s">
        <v>203</v>
      </c>
      <c r="AF14" s="39" t="s">
        <v>206</v>
      </c>
      <c r="AG14" s="39" t="s">
        <v>203</v>
      </c>
      <c r="AH14" s="39" t="s">
        <v>242</v>
      </c>
      <c r="AI14" s="39" t="s">
        <v>207</v>
      </c>
      <c r="AJ14" s="39" t="s">
        <v>194</v>
      </c>
      <c r="AK14" s="39" t="s">
        <v>194</v>
      </c>
      <c r="AL14" s="39"/>
      <c r="AM14" s="39"/>
      <c r="AN14" s="35" t="s">
        <v>208</v>
      </c>
      <c r="AO14" s="39"/>
      <c r="AP14" s="39"/>
      <c r="AQ14" s="39"/>
      <c r="AR14" s="40" t="s">
        <v>214</v>
      </c>
      <c r="AS14" s="40" t="s">
        <v>194</v>
      </c>
      <c r="AT14" s="40" t="s">
        <v>221</v>
      </c>
      <c r="AU14" s="41" t="s">
        <v>75</v>
      </c>
      <c r="AV14" s="33" t="s">
        <v>81</v>
      </c>
      <c r="AW14" s="36" t="s">
        <v>95</v>
      </c>
      <c r="AX14" s="42" t="s">
        <v>86</v>
      </c>
      <c r="AY14" s="40" t="s">
        <v>977</v>
      </c>
    </row>
    <row r="15" customFormat="false" ht="30" hidden="false" customHeight="true" outlineLevel="0" collapsed="false">
      <c r="A15" s="33" t="n">
        <v>13</v>
      </c>
      <c r="B15" s="34" t="s">
        <v>906</v>
      </c>
      <c r="C15" s="34" t="s">
        <v>978</v>
      </c>
      <c r="D15" s="34" t="s">
        <v>979</v>
      </c>
      <c r="E15" s="34" t="s">
        <v>980</v>
      </c>
      <c r="F15" s="33" t="s">
        <v>981</v>
      </c>
      <c r="G15" s="34" t="s">
        <v>982</v>
      </c>
      <c r="H15" s="34" t="s">
        <v>983</v>
      </c>
      <c r="I15" s="34" t="s">
        <v>984</v>
      </c>
      <c r="J15" s="33" t="s">
        <v>194</v>
      </c>
      <c r="K15" s="34" t="s">
        <v>194</v>
      </c>
      <c r="L15" s="34" t="s">
        <v>194</v>
      </c>
      <c r="M15" s="34" t="s">
        <v>985</v>
      </c>
      <c r="N15" s="33" t="s">
        <v>986</v>
      </c>
      <c r="O15" s="34" t="s">
        <v>987</v>
      </c>
      <c r="P15" s="33" t="s">
        <v>275</v>
      </c>
      <c r="Q15" s="34" t="s">
        <v>988</v>
      </c>
      <c r="R15" s="34" t="s">
        <v>989</v>
      </c>
      <c r="S15" s="34" t="s">
        <v>295</v>
      </c>
      <c r="T15" s="33" t="s">
        <v>279</v>
      </c>
      <c r="U15" s="33" t="s">
        <v>296</v>
      </c>
      <c r="V15" s="33"/>
      <c r="W15" s="33"/>
      <c r="X15" s="33"/>
      <c r="Y15" s="34" t="s">
        <v>990</v>
      </c>
      <c r="Z15" s="35" t="s">
        <v>203</v>
      </c>
      <c r="AA15" s="34" t="s">
        <v>991</v>
      </c>
      <c r="AB15" s="34" t="s">
        <v>551</v>
      </c>
      <c r="AC15" s="33" t="s">
        <v>106</v>
      </c>
      <c r="AD15" s="33" t="s">
        <v>992</v>
      </c>
      <c r="AE15" s="33" t="s">
        <v>203</v>
      </c>
      <c r="AF15" s="33" t="s">
        <v>206</v>
      </c>
      <c r="AG15" s="33" t="s">
        <v>203</v>
      </c>
      <c r="AH15" s="33" t="s">
        <v>203</v>
      </c>
      <c r="AI15" s="33" t="s">
        <v>207</v>
      </c>
      <c r="AJ15" s="33" t="s">
        <v>194</v>
      </c>
      <c r="AK15" s="33" t="s">
        <v>194</v>
      </c>
      <c r="AL15" s="33"/>
      <c r="AM15" s="33"/>
      <c r="AN15" s="33"/>
      <c r="AO15" s="35" t="s">
        <v>208</v>
      </c>
      <c r="AP15" s="33"/>
      <c r="AQ15" s="33"/>
      <c r="AR15" s="34" t="s">
        <v>986</v>
      </c>
      <c r="AS15" s="34" t="s">
        <v>993</v>
      </c>
      <c r="AT15" s="34" t="s">
        <v>994</v>
      </c>
      <c r="AU15" s="36" t="s">
        <v>71</v>
      </c>
      <c r="AV15" s="33" t="s">
        <v>81</v>
      </c>
      <c r="AW15" s="36" t="s">
        <v>95</v>
      </c>
      <c r="AX15" s="42" t="s">
        <v>86</v>
      </c>
      <c r="AY15" s="34" t="s">
        <v>995</v>
      </c>
    </row>
    <row r="16" customFormat="false" ht="30" hidden="false" customHeight="true" outlineLevel="0" collapsed="false">
      <c r="A16" s="39" t="n">
        <v>14</v>
      </c>
      <c r="B16" s="40" t="s">
        <v>906</v>
      </c>
      <c r="C16" s="40" t="s">
        <v>978</v>
      </c>
      <c r="D16" s="40" t="s">
        <v>979</v>
      </c>
      <c r="E16" s="40" t="s">
        <v>980</v>
      </c>
      <c r="F16" s="39" t="s">
        <v>981</v>
      </c>
      <c r="G16" s="40" t="s">
        <v>982</v>
      </c>
      <c r="H16" s="40" t="s">
        <v>983</v>
      </c>
      <c r="I16" s="40" t="s">
        <v>984</v>
      </c>
      <c r="J16" s="39" t="s">
        <v>194</v>
      </c>
      <c r="K16" s="40" t="s">
        <v>194</v>
      </c>
      <c r="L16" s="40" t="s">
        <v>194</v>
      </c>
      <c r="M16" s="40" t="s">
        <v>985</v>
      </c>
      <c r="N16" s="39" t="s">
        <v>986</v>
      </c>
      <c r="O16" s="40" t="s">
        <v>996</v>
      </c>
      <c r="P16" s="39" t="s">
        <v>275</v>
      </c>
      <c r="Q16" s="40" t="s">
        <v>997</v>
      </c>
      <c r="R16" s="40" t="s">
        <v>998</v>
      </c>
      <c r="S16" s="40" t="s">
        <v>295</v>
      </c>
      <c r="T16" s="39" t="s">
        <v>279</v>
      </c>
      <c r="U16" s="39" t="s">
        <v>547</v>
      </c>
      <c r="V16" s="39"/>
      <c r="W16" s="39"/>
      <c r="X16" s="39"/>
      <c r="Y16" s="40" t="s">
        <v>999</v>
      </c>
      <c r="Z16" s="35" t="s">
        <v>203</v>
      </c>
      <c r="AA16" s="40" t="s">
        <v>1000</v>
      </c>
      <c r="AB16" s="40" t="s">
        <v>300</v>
      </c>
      <c r="AC16" s="39" t="s">
        <v>106</v>
      </c>
      <c r="AD16" s="39" t="s">
        <v>714</v>
      </c>
      <c r="AE16" s="39" t="s">
        <v>203</v>
      </c>
      <c r="AF16" s="39" t="s">
        <v>206</v>
      </c>
      <c r="AG16" s="39" t="s">
        <v>203</v>
      </c>
      <c r="AH16" s="39" t="s">
        <v>203</v>
      </c>
      <c r="AI16" s="39" t="s">
        <v>207</v>
      </c>
      <c r="AJ16" s="39" t="s">
        <v>194</v>
      </c>
      <c r="AK16" s="39" t="s">
        <v>194</v>
      </c>
      <c r="AL16" s="39"/>
      <c r="AM16" s="39"/>
      <c r="AN16" s="39"/>
      <c r="AO16" s="35" t="s">
        <v>208</v>
      </c>
      <c r="AP16" s="39"/>
      <c r="AQ16" s="39"/>
      <c r="AR16" s="40" t="s">
        <v>986</v>
      </c>
      <c r="AS16" s="40" t="s">
        <v>993</v>
      </c>
      <c r="AT16" s="40" t="s">
        <v>994</v>
      </c>
      <c r="AU16" s="36" t="s">
        <v>71</v>
      </c>
      <c r="AV16" s="33" t="s">
        <v>81</v>
      </c>
      <c r="AW16" s="43" t="s">
        <v>97</v>
      </c>
      <c r="AX16" s="44" t="s">
        <v>88</v>
      </c>
      <c r="AY16" s="40"/>
    </row>
    <row r="17" customFormat="false" ht="30" hidden="false" customHeight="true" outlineLevel="0" collapsed="false">
      <c r="A17" s="33" t="n">
        <v>15</v>
      </c>
      <c r="B17" s="34" t="s">
        <v>906</v>
      </c>
      <c r="C17" s="34" t="s">
        <v>978</v>
      </c>
      <c r="D17" s="34" t="s">
        <v>979</v>
      </c>
      <c r="E17" s="34" t="s">
        <v>980</v>
      </c>
      <c r="F17" s="33" t="s">
        <v>981</v>
      </c>
      <c r="G17" s="34" t="s">
        <v>982</v>
      </c>
      <c r="H17" s="34" t="s">
        <v>983</v>
      </c>
      <c r="I17" s="34" t="s">
        <v>984</v>
      </c>
      <c r="J17" s="33" t="s">
        <v>194</v>
      </c>
      <c r="K17" s="34" t="s">
        <v>194</v>
      </c>
      <c r="L17" s="34" t="s">
        <v>194</v>
      </c>
      <c r="M17" s="34" t="s">
        <v>985</v>
      </c>
      <c r="N17" s="33" t="s">
        <v>986</v>
      </c>
      <c r="O17" s="34" t="s">
        <v>1001</v>
      </c>
      <c r="P17" s="33" t="s">
        <v>275</v>
      </c>
      <c r="Q17" s="34" t="s">
        <v>1002</v>
      </c>
      <c r="R17" s="34" t="s">
        <v>1003</v>
      </c>
      <c r="S17" s="34" t="s">
        <v>295</v>
      </c>
      <c r="T17" s="33" t="s">
        <v>279</v>
      </c>
      <c r="U17" s="33" t="s">
        <v>1004</v>
      </c>
      <c r="V17" s="33"/>
      <c r="W17" s="33" t="s">
        <v>282</v>
      </c>
      <c r="X17" s="33" t="s">
        <v>1005</v>
      </c>
      <c r="Y17" s="34"/>
      <c r="Z17" s="35" t="s">
        <v>203</v>
      </c>
      <c r="AA17" s="34" t="s">
        <v>1000</v>
      </c>
      <c r="AB17" s="34" t="s">
        <v>300</v>
      </c>
      <c r="AC17" s="33" t="s">
        <v>106</v>
      </c>
      <c r="AD17" s="33" t="s">
        <v>714</v>
      </c>
      <c r="AE17" s="33" t="s">
        <v>203</v>
      </c>
      <c r="AF17" s="33" t="s">
        <v>206</v>
      </c>
      <c r="AG17" s="33" t="s">
        <v>203</v>
      </c>
      <c r="AH17" s="33" t="s">
        <v>203</v>
      </c>
      <c r="AI17" s="33" t="s">
        <v>207</v>
      </c>
      <c r="AJ17" s="33" t="s">
        <v>194</v>
      </c>
      <c r="AK17" s="33" t="s">
        <v>194</v>
      </c>
      <c r="AL17" s="33"/>
      <c r="AM17" s="33"/>
      <c r="AN17" s="33"/>
      <c r="AO17" s="35" t="s">
        <v>208</v>
      </c>
      <c r="AP17" s="33"/>
      <c r="AQ17" s="33"/>
      <c r="AR17" s="34" t="s">
        <v>986</v>
      </c>
      <c r="AS17" s="34" t="s">
        <v>993</v>
      </c>
      <c r="AT17" s="34" t="s">
        <v>994</v>
      </c>
      <c r="AU17" s="36" t="s">
        <v>71</v>
      </c>
      <c r="AV17" s="33" t="s">
        <v>81</v>
      </c>
      <c r="AW17" s="43" t="s">
        <v>97</v>
      </c>
      <c r="AX17" s="44" t="s">
        <v>88</v>
      </c>
      <c r="AY17" s="34"/>
    </row>
    <row r="18" customFormat="false" ht="30" hidden="false" customHeight="true" outlineLevel="0" collapsed="false">
      <c r="A18" s="39" t="n">
        <v>16</v>
      </c>
      <c r="B18" s="40" t="s">
        <v>906</v>
      </c>
      <c r="C18" s="40" t="s">
        <v>978</v>
      </c>
      <c r="D18" s="40" t="s">
        <v>979</v>
      </c>
      <c r="E18" s="40" t="s">
        <v>980</v>
      </c>
      <c r="F18" s="39" t="s">
        <v>981</v>
      </c>
      <c r="G18" s="40" t="s">
        <v>982</v>
      </c>
      <c r="H18" s="40" t="s">
        <v>983</v>
      </c>
      <c r="I18" s="40" t="s">
        <v>984</v>
      </c>
      <c r="J18" s="39" t="s">
        <v>194</v>
      </c>
      <c r="K18" s="40" t="s">
        <v>194</v>
      </c>
      <c r="L18" s="40" t="s">
        <v>194</v>
      </c>
      <c r="M18" s="40" t="s">
        <v>985</v>
      </c>
      <c r="N18" s="39" t="s">
        <v>986</v>
      </c>
      <c r="O18" s="40" t="s">
        <v>1006</v>
      </c>
      <c r="P18" s="39" t="s">
        <v>275</v>
      </c>
      <c r="Q18" s="40" t="s">
        <v>1007</v>
      </c>
      <c r="R18" s="40" t="s">
        <v>1008</v>
      </c>
      <c r="S18" s="40" t="s">
        <v>181</v>
      </c>
      <c r="T18" s="39" t="s">
        <v>279</v>
      </c>
      <c r="U18" s="39" t="s">
        <v>1009</v>
      </c>
      <c r="V18" s="39"/>
      <c r="W18" s="39"/>
      <c r="X18" s="39"/>
      <c r="Y18" s="40"/>
      <c r="Z18" s="35" t="s">
        <v>203</v>
      </c>
      <c r="AA18" s="40" t="s">
        <v>1010</v>
      </c>
      <c r="AB18" s="40" t="s">
        <v>181</v>
      </c>
      <c r="AC18" s="39" t="s">
        <v>106</v>
      </c>
      <c r="AD18" s="39" t="s">
        <v>714</v>
      </c>
      <c r="AE18" s="39" t="s">
        <v>203</v>
      </c>
      <c r="AF18" s="39" t="s">
        <v>206</v>
      </c>
      <c r="AG18" s="39" t="s">
        <v>203</v>
      </c>
      <c r="AH18" s="39" t="s">
        <v>203</v>
      </c>
      <c r="AI18" s="39" t="s">
        <v>207</v>
      </c>
      <c r="AJ18" s="39" t="s">
        <v>194</v>
      </c>
      <c r="AK18" s="39" t="s">
        <v>194</v>
      </c>
      <c r="AL18" s="39"/>
      <c r="AM18" s="39"/>
      <c r="AN18" s="39"/>
      <c r="AO18" s="39"/>
      <c r="AP18" s="39"/>
      <c r="AQ18" s="35" t="s">
        <v>208</v>
      </c>
      <c r="AR18" s="40" t="s">
        <v>986</v>
      </c>
      <c r="AS18" s="40" t="s">
        <v>993</v>
      </c>
      <c r="AT18" s="40" t="s">
        <v>994</v>
      </c>
      <c r="AU18" s="36" t="s">
        <v>71</v>
      </c>
      <c r="AV18" s="33" t="s">
        <v>81</v>
      </c>
      <c r="AW18" s="43" t="s">
        <v>97</v>
      </c>
      <c r="AX18" s="44" t="s">
        <v>88</v>
      </c>
      <c r="AY18" s="40" t="s">
        <v>1011</v>
      </c>
    </row>
  </sheetData>
  <mergeCells count="1">
    <mergeCell ref="A1:A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8" min="18" style="0" width="34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1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22"/>
    <col collapsed="false" customWidth="true" hidden="false" outlineLevel="0" max="26" min="26" style="0" width="9"/>
    <col collapsed="false" customWidth="true" hidden="false" outlineLevel="0" max="27" min="27" style="0" width="30"/>
    <col collapsed="false" customWidth="true" hidden="false" outlineLevel="0" max="28" min="28" style="0" width="20"/>
    <col collapsed="false" customWidth="true" hidden="false" outlineLevel="0" max="29" min="29" style="0" width="13"/>
    <col collapsed="false" customWidth="true" hidden="false" outlineLevel="0" max="30" min="30" style="0" width="14"/>
    <col collapsed="false" customWidth="true" hidden="false" outlineLevel="0" max="31" min="31" style="0" width="9"/>
    <col collapsed="false" customWidth="true" hidden="false" outlineLevel="0" max="32" min="32" style="0" width="18"/>
    <col collapsed="false" customWidth="true" hidden="false" outlineLevel="0" max="33" min="33" style="0" width="9"/>
    <col collapsed="false" customWidth="true" hidden="false" outlineLevel="0" max="35" min="34" style="0" width="8"/>
    <col collapsed="false" customWidth="true" hidden="false" outlineLevel="0" max="37" min="36" style="0" width="11"/>
    <col collapsed="false" customWidth="true" hidden="false" outlineLevel="0" max="38" min="38" style="0" width="8"/>
    <col collapsed="false" customWidth="true" hidden="false" outlineLevel="0" max="39" min="39" style="0" width="6"/>
    <col collapsed="false" customWidth="true" hidden="false" outlineLevel="0" max="40" min="40" style="0" width="9"/>
    <col collapsed="false" customWidth="true" hidden="false" outlineLevel="0" max="41" min="41" style="0" width="8"/>
    <col collapsed="false" customWidth="true" hidden="false" outlineLevel="0" max="42" min="42" style="0" width="10"/>
    <col collapsed="false" customWidth="true" hidden="false" outlineLevel="0" max="43" min="43" style="0" width="7"/>
    <col collapsed="false" customWidth="true" hidden="false" outlineLevel="0" max="45" min="44" style="0" width="18"/>
    <col collapsed="false" customWidth="true" hidden="false" outlineLevel="0" max="47" min="46" style="0" width="22"/>
    <col collapsed="false" customWidth="true" hidden="false" outlineLevel="0" max="48" min="48" style="0" width="13"/>
    <col collapsed="false" customWidth="true" hidden="false" outlineLevel="0" max="49" min="49" style="0" width="11"/>
    <col collapsed="false" customWidth="true" hidden="false" outlineLevel="0" max="50" min="50" style="0" width="9"/>
    <col collapsed="false" customWidth="true" hidden="false" outlineLevel="0" max="51" min="51" style="0" width="40"/>
  </cols>
  <sheetData>
    <row r="1" customFormat="false" ht="21.75" hidden="false" customHeight="true" outlineLevel="0" collapsed="false">
      <c r="A1" s="31" t="s">
        <v>1012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</row>
    <row r="2" customFormat="false" ht="19.4" hidden="false" customHeight="false" outlineLevel="0" collapsed="false">
      <c r="A2" s="32" t="s">
        <v>140</v>
      </c>
      <c r="B2" s="32" t="s">
        <v>141</v>
      </c>
      <c r="C2" s="32" t="s">
        <v>142</v>
      </c>
      <c r="D2" s="32" t="s">
        <v>143</v>
      </c>
      <c r="E2" s="32" t="s">
        <v>144</v>
      </c>
      <c r="F2" s="32" t="s">
        <v>145</v>
      </c>
      <c r="G2" s="32" t="s">
        <v>146</v>
      </c>
      <c r="H2" s="32" t="s">
        <v>147</v>
      </c>
      <c r="I2" s="32" t="s">
        <v>148</v>
      </c>
      <c r="J2" s="32" t="s">
        <v>149</v>
      </c>
      <c r="K2" s="32" t="s">
        <v>150</v>
      </c>
      <c r="L2" s="32" t="s">
        <v>151</v>
      </c>
      <c r="M2" s="32" t="s">
        <v>152</v>
      </c>
      <c r="N2" s="32" t="s">
        <v>153</v>
      </c>
      <c r="O2" s="32" t="s">
        <v>154</v>
      </c>
      <c r="P2" s="32" t="s">
        <v>155</v>
      </c>
      <c r="Q2" s="32" t="s">
        <v>156</v>
      </c>
      <c r="R2" s="32" t="s">
        <v>157</v>
      </c>
      <c r="S2" s="32" t="s">
        <v>117</v>
      </c>
      <c r="T2" s="32" t="s">
        <v>158</v>
      </c>
      <c r="U2" s="32" t="s">
        <v>159</v>
      </c>
      <c r="V2" s="32" t="s">
        <v>160</v>
      </c>
      <c r="W2" s="32" t="s">
        <v>161</v>
      </c>
      <c r="X2" s="32" t="s">
        <v>162</v>
      </c>
      <c r="Y2" s="32" t="s">
        <v>163</v>
      </c>
      <c r="Z2" s="32" t="s">
        <v>164</v>
      </c>
      <c r="AA2" s="32" t="s">
        <v>165</v>
      </c>
      <c r="AB2" s="32" t="s">
        <v>166</v>
      </c>
      <c r="AC2" s="32" t="s">
        <v>167</v>
      </c>
      <c r="AD2" s="32" t="s">
        <v>168</v>
      </c>
      <c r="AE2" s="32" t="s">
        <v>169</v>
      </c>
      <c r="AF2" s="32" t="s">
        <v>170</v>
      </c>
      <c r="AG2" s="32" t="s">
        <v>171</v>
      </c>
      <c r="AH2" s="32" t="s">
        <v>172</v>
      </c>
      <c r="AI2" s="32" t="s">
        <v>173</v>
      </c>
      <c r="AJ2" s="32" t="s">
        <v>174</v>
      </c>
      <c r="AK2" s="32" t="s">
        <v>175</v>
      </c>
      <c r="AL2" s="32" t="s">
        <v>176</v>
      </c>
      <c r="AM2" s="32" t="s">
        <v>177</v>
      </c>
      <c r="AN2" s="32" t="s">
        <v>178</v>
      </c>
      <c r="AO2" s="32" t="s">
        <v>179</v>
      </c>
      <c r="AP2" s="32" t="s">
        <v>180</v>
      </c>
      <c r="AQ2" s="32" t="s">
        <v>181</v>
      </c>
      <c r="AR2" s="32" t="s">
        <v>182</v>
      </c>
      <c r="AS2" s="32" t="s">
        <v>183</v>
      </c>
      <c r="AT2" s="32" t="s">
        <v>184</v>
      </c>
      <c r="AU2" s="32" t="s">
        <v>185</v>
      </c>
      <c r="AV2" s="32" t="s">
        <v>186</v>
      </c>
      <c r="AW2" s="32" t="s">
        <v>187</v>
      </c>
      <c r="AX2" s="32" t="s">
        <v>188</v>
      </c>
      <c r="AY2" s="32" t="s">
        <v>189</v>
      </c>
    </row>
    <row r="3" customFormat="false" ht="30" hidden="false" customHeight="true" outlineLevel="0" collapsed="false">
      <c r="A3" s="33" t="n">
        <v>1</v>
      </c>
      <c r="B3" s="34" t="s">
        <v>1013</v>
      </c>
      <c r="C3" s="34" t="s">
        <v>1014</v>
      </c>
      <c r="D3" s="34" t="s">
        <v>1014</v>
      </c>
      <c r="E3" s="34" t="s">
        <v>1015</v>
      </c>
      <c r="F3" s="33" t="s">
        <v>1016</v>
      </c>
      <c r="G3" s="34" t="s">
        <v>476</v>
      </c>
      <c r="H3" s="34" t="s">
        <v>1017</v>
      </c>
      <c r="I3" s="34" t="s">
        <v>1018</v>
      </c>
      <c r="J3" s="33" t="s">
        <v>81</v>
      </c>
      <c r="K3" s="34" t="s">
        <v>1019</v>
      </c>
      <c r="L3" s="34" t="s">
        <v>81</v>
      </c>
      <c r="M3" s="34" t="s">
        <v>1020</v>
      </c>
      <c r="N3" s="33" t="s">
        <v>1021</v>
      </c>
      <c r="O3" s="34" t="s">
        <v>1022</v>
      </c>
      <c r="P3" s="33" t="s">
        <v>1023</v>
      </c>
      <c r="Q3" s="34" t="s">
        <v>1024</v>
      </c>
      <c r="R3" s="34" t="s">
        <v>1025</v>
      </c>
      <c r="S3" s="34" t="s">
        <v>1026</v>
      </c>
      <c r="T3" s="33" t="s">
        <v>201</v>
      </c>
      <c r="U3" s="33" t="s">
        <v>194</v>
      </c>
      <c r="V3" s="33"/>
      <c r="W3" s="33"/>
      <c r="X3" s="33"/>
      <c r="Y3" s="34" t="s">
        <v>1027</v>
      </c>
      <c r="Z3" s="35" t="s">
        <v>203</v>
      </c>
      <c r="AA3" s="34" t="s">
        <v>1028</v>
      </c>
      <c r="AB3" s="34" t="s">
        <v>300</v>
      </c>
      <c r="AC3" s="33" t="s">
        <v>108</v>
      </c>
      <c r="AD3" s="33" t="s">
        <v>335</v>
      </c>
      <c r="AE3" s="33" t="s">
        <v>203</v>
      </c>
      <c r="AF3" s="33" t="s">
        <v>206</v>
      </c>
      <c r="AG3" s="33" t="s">
        <v>203</v>
      </c>
      <c r="AH3" s="33" t="s">
        <v>203</v>
      </c>
      <c r="AI3" s="33" t="s">
        <v>207</v>
      </c>
      <c r="AJ3" s="33" t="s">
        <v>194</v>
      </c>
      <c r="AK3" s="33" t="s">
        <v>194</v>
      </c>
      <c r="AL3" s="33"/>
      <c r="AM3" s="33"/>
      <c r="AN3" s="33"/>
      <c r="AO3" s="35" t="s">
        <v>208</v>
      </c>
      <c r="AP3" s="33"/>
      <c r="AQ3" s="33"/>
      <c r="AR3" s="34" t="s">
        <v>1021</v>
      </c>
      <c r="AS3" s="34" t="s">
        <v>1029</v>
      </c>
      <c r="AT3" s="34" t="s">
        <v>1030</v>
      </c>
      <c r="AU3" s="35" t="s">
        <v>65</v>
      </c>
      <c r="AV3" s="33" t="s">
        <v>81</v>
      </c>
      <c r="AW3" s="36" t="s">
        <v>95</v>
      </c>
      <c r="AX3" s="42" t="s">
        <v>86</v>
      </c>
      <c r="AY3" s="34" t="s">
        <v>1031</v>
      </c>
    </row>
    <row r="4" customFormat="false" ht="30" hidden="false" customHeight="true" outlineLevel="0" collapsed="false">
      <c r="A4" s="39" t="n">
        <v>2</v>
      </c>
      <c r="B4" s="40" t="s">
        <v>1013</v>
      </c>
      <c r="C4" s="40" t="s">
        <v>1032</v>
      </c>
      <c r="D4" s="40" t="s">
        <v>1033</v>
      </c>
      <c r="E4" s="40" t="s">
        <v>1015</v>
      </c>
      <c r="F4" s="39" t="s">
        <v>1016</v>
      </c>
      <c r="G4" s="40" t="s">
        <v>476</v>
      </c>
      <c r="H4" s="40" t="s">
        <v>1017</v>
      </c>
      <c r="I4" s="40" t="s">
        <v>1018</v>
      </c>
      <c r="J4" s="39" t="s">
        <v>81</v>
      </c>
      <c r="K4" s="40" t="s">
        <v>1019</v>
      </c>
      <c r="L4" s="40" t="s">
        <v>81</v>
      </c>
      <c r="M4" s="40" t="s">
        <v>1020</v>
      </c>
      <c r="N4" s="39" t="s">
        <v>1021</v>
      </c>
      <c r="O4" s="40" t="s">
        <v>1034</v>
      </c>
      <c r="P4" s="39" t="s">
        <v>275</v>
      </c>
      <c r="Q4" s="40" t="s">
        <v>1035</v>
      </c>
      <c r="R4" s="40" t="s">
        <v>1036</v>
      </c>
      <c r="S4" s="40" t="s">
        <v>295</v>
      </c>
      <c r="T4" s="39" t="s">
        <v>279</v>
      </c>
      <c r="U4" s="39" t="s">
        <v>1037</v>
      </c>
      <c r="V4" s="39" t="s">
        <v>1038</v>
      </c>
      <c r="W4" s="39"/>
      <c r="X4" s="39"/>
      <c r="Y4" s="40" t="s">
        <v>1039</v>
      </c>
      <c r="Z4" s="35" t="s">
        <v>203</v>
      </c>
      <c r="AA4" s="40" t="s">
        <v>1040</v>
      </c>
      <c r="AB4" s="40" t="s">
        <v>551</v>
      </c>
      <c r="AC4" s="39" t="s">
        <v>106</v>
      </c>
      <c r="AD4" s="39" t="s">
        <v>286</v>
      </c>
      <c r="AE4" s="39" t="s">
        <v>203</v>
      </c>
      <c r="AF4" s="39" t="s">
        <v>206</v>
      </c>
      <c r="AG4" s="39" t="s">
        <v>203</v>
      </c>
      <c r="AH4" s="39" t="s">
        <v>203</v>
      </c>
      <c r="AI4" s="39" t="s">
        <v>207</v>
      </c>
      <c r="AJ4" s="39" t="s">
        <v>194</v>
      </c>
      <c r="AK4" s="39" t="s">
        <v>194</v>
      </c>
      <c r="AL4" s="39"/>
      <c r="AM4" s="39"/>
      <c r="AN4" s="39"/>
      <c r="AO4" s="35" t="s">
        <v>208</v>
      </c>
      <c r="AP4" s="39"/>
      <c r="AQ4" s="39"/>
      <c r="AR4" s="40" t="s">
        <v>1021</v>
      </c>
      <c r="AS4" s="40" t="s">
        <v>1029</v>
      </c>
      <c r="AT4" s="40" t="s">
        <v>1030</v>
      </c>
      <c r="AU4" s="35" t="s">
        <v>65</v>
      </c>
      <c r="AV4" s="33" t="s">
        <v>81</v>
      </c>
      <c r="AW4" s="36" t="s">
        <v>95</v>
      </c>
      <c r="AX4" s="42" t="s">
        <v>86</v>
      </c>
      <c r="AY4" s="40" t="s">
        <v>1041</v>
      </c>
    </row>
    <row r="5" customFormat="false" ht="30" hidden="false" customHeight="true" outlineLevel="0" collapsed="false">
      <c r="A5" s="33" t="n">
        <v>3</v>
      </c>
      <c r="B5" s="34" t="s">
        <v>1013</v>
      </c>
      <c r="C5" s="34" t="s">
        <v>1032</v>
      </c>
      <c r="D5" s="34" t="s">
        <v>1033</v>
      </c>
      <c r="E5" s="34" t="s">
        <v>1015</v>
      </c>
      <c r="F5" s="33" t="s">
        <v>1016</v>
      </c>
      <c r="G5" s="34" t="s">
        <v>476</v>
      </c>
      <c r="H5" s="34" t="s">
        <v>1017</v>
      </c>
      <c r="I5" s="34" t="s">
        <v>1018</v>
      </c>
      <c r="J5" s="33" t="s">
        <v>81</v>
      </c>
      <c r="K5" s="34" t="s">
        <v>1019</v>
      </c>
      <c r="L5" s="34" t="s">
        <v>81</v>
      </c>
      <c r="M5" s="34" t="s">
        <v>1020</v>
      </c>
      <c r="N5" s="33" t="s">
        <v>1021</v>
      </c>
      <c r="O5" s="34" t="s">
        <v>1042</v>
      </c>
      <c r="P5" s="33" t="s">
        <v>275</v>
      </c>
      <c r="Q5" s="34" t="s">
        <v>1043</v>
      </c>
      <c r="R5" s="34" t="s">
        <v>1044</v>
      </c>
      <c r="S5" s="34" t="s">
        <v>295</v>
      </c>
      <c r="T5" s="33" t="s">
        <v>279</v>
      </c>
      <c r="U5" s="33" t="s">
        <v>1037</v>
      </c>
      <c r="V5" s="33" t="s">
        <v>1045</v>
      </c>
      <c r="W5" s="33"/>
      <c r="X5" s="33"/>
      <c r="Y5" s="34" t="s">
        <v>1046</v>
      </c>
      <c r="Z5" s="35" t="s">
        <v>203</v>
      </c>
      <c r="AA5" s="34" t="s">
        <v>1047</v>
      </c>
      <c r="AB5" s="34" t="s">
        <v>551</v>
      </c>
      <c r="AC5" s="33" t="s">
        <v>106</v>
      </c>
      <c r="AD5" s="33" t="s">
        <v>286</v>
      </c>
      <c r="AE5" s="33" t="s">
        <v>203</v>
      </c>
      <c r="AF5" s="33" t="s">
        <v>206</v>
      </c>
      <c r="AG5" s="33" t="s">
        <v>203</v>
      </c>
      <c r="AH5" s="33" t="s">
        <v>203</v>
      </c>
      <c r="AI5" s="33" t="s">
        <v>207</v>
      </c>
      <c r="AJ5" s="33" t="s">
        <v>194</v>
      </c>
      <c r="AK5" s="33" t="s">
        <v>194</v>
      </c>
      <c r="AL5" s="33"/>
      <c r="AM5" s="33"/>
      <c r="AN5" s="33"/>
      <c r="AO5" s="35" t="s">
        <v>208</v>
      </c>
      <c r="AP5" s="33"/>
      <c r="AQ5" s="33"/>
      <c r="AR5" s="34" t="s">
        <v>1021</v>
      </c>
      <c r="AS5" s="34" t="s">
        <v>1029</v>
      </c>
      <c r="AT5" s="34" t="s">
        <v>1030</v>
      </c>
      <c r="AU5" s="35" t="s">
        <v>65</v>
      </c>
      <c r="AV5" s="33" t="s">
        <v>81</v>
      </c>
      <c r="AW5" s="36" t="s">
        <v>95</v>
      </c>
      <c r="AX5" s="42" t="s">
        <v>86</v>
      </c>
      <c r="AY5" s="34" t="s">
        <v>1048</v>
      </c>
    </row>
    <row r="6" customFormat="false" ht="30" hidden="false" customHeight="true" outlineLevel="0" collapsed="false">
      <c r="A6" s="39" t="n">
        <v>4</v>
      </c>
      <c r="B6" s="40" t="s">
        <v>1013</v>
      </c>
      <c r="C6" s="40" t="s">
        <v>1032</v>
      </c>
      <c r="D6" s="40" t="s">
        <v>1033</v>
      </c>
      <c r="E6" s="40" t="s">
        <v>1015</v>
      </c>
      <c r="F6" s="39" t="s">
        <v>1016</v>
      </c>
      <c r="G6" s="40" t="s">
        <v>476</v>
      </c>
      <c r="H6" s="40" t="s">
        <v>1017</v>
      </c>
      <c r="I6" s="40" t="s">
        <v>1018</v>
      </c>
      <c r="J6" s="39" t="s">
        <v>81</v>
      </c>
      <c r="K6" s="40" t="s">
        <v>1019</v>
      </c>
      <c r="L6" s="40" t="s">
        <v>81</v>
      </c>
      <c r="M6" s="40" t="s">
        <v>1020</v>
      </c>
      <c r="N6" s="39" t="s">
        <v>1021</v>
      </c>
      <c r="O6" s="40" t="s">
        <v>1049</v>
      </c>
      <c r="P6" s="39" t="s">
        <v>275</v>
      </c>
      <c r="Q6" s="40" t="s">
        <v>1050</v>
      </c>
      <c r="R6" s="40" t="s">
        <v>1051</v>
      </c>
      <c r="S6" s="40" t="s">
        <v>295</v>
      </c>
      <c r="T6" s="39" t="s">
        <v>279</v>
      </c>
      <c r="U6" s="39" t="s">
        <v>296</v>
      </c>
      <c r="V6" s="39" t="s">
        <v>1052</v>
      </c>
      <c r="W6" s="39"/>
      <c r="X6" s="39"/>
      <c r="Y6" s="40" t="s">
        <v>1053</v>
      </c>
      <c r="Z6" s="35" t="s">
        <v>203</v>
      </c>
      <c r="AA6" s="40" t="s">
        <v>1054</v>
      </c>
      <c r="AB6" s="40" t="s">
        <v>300</v>
      </c>
      <c r="AC6" s="39" t="s">
        <v>106</v>
      </c>
      <c r="AD6" s="39" t="s">
        <v>286</v>
      </c>
      <c r="AE6" s="39" t="s">
        <v>203</v>
      </c>
      <c r="AF6" s="39" t="s">
        <v>206</v>
      </c>
      <c r="AG6" s="39" t="s">
        <v>203</v>
      </c>
      <c r="AH6" s="39" t="s">
        <v>203</v>
      </c>
      <c r="AI6" s="39" t="s">
        <v>207</v>
      </c>
      <c r="AJ6" s="39" t="s">
        <v>194</v>
      </c>
      <c r="AK6" s="39" t="s">
        <v>194</v>
      </c>
      <c r="AL6" s="39"/>
      <c r="AM6" s="39"/>
      <c r="AN6" s="39"/>
      <c r="AO6" s="35" t="s">
        <v>208</v>
      </c>
      <c r="AP6" s="39"/>
      <c r="AQ6" s="39"/>
      <c r="AR6" s="40" t="s">
        <v>1021</v>
      </c>
      <c r="AS6" s="40" t="s">
        <v>1029</v>
      </c>
      <c r="AT6" s="40" t="s">
        <v>1030</v>
      </c>
      <c r="AU6" s="35" t="s">
        <v>65</v>
      </c>
      <c r="AV6" s="33" t="s">
        <v>81</v>
      </c>
      <c r="AW6" s="43" t="s">
        <v>97</v>
      </c>
      <c r="AX6" s="44" t="s">
        <v>88</v>
      </c>
      <c r="AY6" s="40"/>
    </row>
    <row r="7" customFormat="false" ht="30" hidden="false" customHeight="true" outlineLevel="0" collapsed="false">
      <c r="A7" s="33" t="n">
        <v>5</v>
      </c>
      <c r="B7" s="34" t="s">
        <v>1013</v>
      </c>
      <c r="C7" s="34" t="s">
        <v>1032</v>
      </c>
      <c r="D7" s="34" t="s">
        <v>1033</v>
      </c>
      <c r="E7" s="34" t="s">
        <v>1015</v>
      </c>
      <c r="F7" s="33" t="s">
        <v>1016</v>
      </c>
      <c r="G7" s="34" t="s">
        <v>476</v>
      </c>
      <c r="H7" s="34" t="s">
        <v>1017</v>
      </c>
      <c r="I7" s="34" t="s">
        <v>1018</v>
      </c>
      <c r="J7" s="33" t="s">
        <v>81</v>
      </c>
      <c r="K7" s="34" t="s">
        <v>1019</v>
      </c>
      <c r="L7" s="34" t="s">
        <v>81</v>
      </c>
      <c r="M7" s="34" t="s">
        <v>1020</v>
      </c>
      <c r="N7" s="33" t="s">
        <v>1021</v>
      </c>
      <c r="O7" s="34" t="s">
        <v>1055</v>
      </c>
      <c r="P7" s="33" t="s">
        <v>275</v>
      </c>
      <c r="Q7" s="34" t="s">
        <v>1056</v>
      </c>
      <c r="R7" s="34" t="s">
        <v>1057</v>
      </c>
      <c r="S7" s="34" t="s">
        <v>295</v>
      </c>
      <c r="T7" s="33" t="s">
        <v>279</v>
      </c>
      <c r="U7" s="33" t="s">
        <v>1037</v>
      </c>
      <c r="V7" s="33" t="s">
        <v>1058</v>
      </c>
      <c r="W7" s="33"/>
      <c r="X7" s="33"/>
      <c r="Y7" s="34" t="s">
        <v>1059</v>
      </c>
      <c r="Z7" s="35" t="s">
        <v>203</v>
      </c>
      <c r="AA7" s="34" t="s">
        <v>1060</v>
      </c>
      <c r="AB7" s="34" t="s">
        <v>551</v>
      </c>
      <c r="AC7" s="33" t="s">
        <v>106</v>
      </c>
      <c r="AD7" s="33" t="s">
        <v>286</v>
      </c>
      <c r="AE7" s="33" t="s">
        <v>203</v>
      </c>
      <c r="AF7" s="33" t="s">
        <v>206</v>
      </c>
      <c r="AG7" s="33" t="s">
        <v>203</v>
      </c>
      <c r="AH7" s="33" t="s">
        <v>203</v>
      </c>
      <c r="AI7" s="33" t="s">
        <v>207</v>
      </c>
      <c r="AJ7" s="33" t="s">
        <v>194</v>
      </c>
      <c r="AK7" s="33" t="s">
        <v>194</v>
      </c>
      <c r="AL7" s="33"/>
      <c r="AM7" s="33"/>
      <c r="AN7" s="33"/>
      <c r="AO7" s="35" t="s">
        <v>208</v>
      </c>
      <c r="AP7" s="33"/>
      <c r="AQ7" s="33"/>
      <c r="AR7" s="34" t="s">
        <v>1021</v>
      </c>
      <c r="AS7" s="34" t="s">
        <v>1029</v>
      </c>
      <c r="AT7" s="34" t="s">
        <v>1030</v>
      </c>
      <c r="AU7" s="35" t="s">
        <v>65</v>
      </c>
      <c r="AV7" s="33" t="s">
        <v>81</v>
      </c>
      <c r="AW7" s="36" t="s">
        <v>95</v>
      </c>
      <c r="AX7" s="42" t="s">
        <v>86</v>
      </c>
      <c r="AY7" s="34" t="s">
        <v>1061</v>
      </c>
    </row>
    <row r="8" customFormat="false" ht="30" hidden="false" customHeight="true" outlineLevel="0" collapsed="false">
      <c r="A8" s="39" t="n">
        <v>6</v>
      </c>
      <c r="B8" s="40" t="s">
        <v>1013</v>
      </c>
      <c r="C8" s="40" t="s">
        <v>1032</v>
      </c>
      <c r="D8" s="40" t="s">
        <v>1033</v>
      </c>
      <c r="E8" s="40" t="s">
        <v>1015</v>
      </c>
      <c r="F8" s="39" t="s">
        <v>1016</v>
      </c>
      <c r="G8" s="40" t="s">
        <v>476</v>
      </c>
      <c r="H8" s="40" t="s">
        <v>1017</v>
      </c>
      <c r="I8" s="40" t="s">
        <v>1018</v>
      </c>
      <c r="J8" s="39" t="s">
        <v>81</v>
      </c>
      <c r="K8" s="40" t="s">
        <v>1019</v>
      </c>
      <c r="L8" s="40" t="s">
        <v>81</v>
      </c>
      <c r="M8" s="40" t="s">
        <v>1020</v>
      </c>
      <c r="N8" s="39" t="s">
        <v>1021</v>
      </c>
      <c r="O8" s="40" t="s">
        <v>1062</v>
      </c>
      <c r="P8" s="39" t="s">
        <v>275</v>
      </c>
      <c r="Q8" s="40" t="s">
        <v>1063</v>
      </c>
      <c r="R8" s="40" t="s">
        <v>1064</v>
      </c>
      <c r="S8" s="40" t="s">
        <v>295</v>
      </c>
      <c r="T8" s="39" t="s">
        <v>279</v>
      </c>
      <c r="U8" s="39" t="s">
        <v>1037</v>
      </c>
      <c r="V8" s="39" t="s">
        <v>1065</v>
      </c>
      <c r="W8" s="39"/>
      <c r="X8" s="39"/>
      <c r="Y8" s="40" t="s">
        <v>1066</v>
      </c>
      <c r="Z8" s="35" t="s">
        <v>203</v>
      </c>
      <c r="AA8" s="40" t="s">
        <v>1067</v>
      </c>
      <c r="AB8" s="40" t="s">
        <v>300</v>
      </c>
      <c r="AC8" s="39" t="s">
        <v>106</v>
      </c>
      <c r="AD8" s="39" t="s">
        <v>286</v>
      </c>
      <c r="AE8" s="39" t="s">
        <v>203</v>
      </c>
      <c r="AF8" s="39" t="s">
        <v>206</v>
      </c>
      <c r="AG8" s="39" t="s">
        <v>203</v>
      </c>
      <c r="AH8" s="39" t="s">
        <v>203</v>
      </c>
      <c r="AI8" s="39" t="s">
        <v>207</v>
      </c>
      <c r="AJ8" s="39" t="s">
        <v>194</v>
      </c>
      <c r="AK8" s="39" t="s">
        <v>194</v>
      </c>
      <c r="AL8" s="39"/>
      <c r="AM8" s="39"/>
      <c r="AN8" s="39"/>
      <c r="AO8" s="35" t="s">
        <v>208</v>
      </c>
      <c r="AP8" s="39"/>
      <c r="AQ8" s="39"/>
      <c r="AR8" s="40" t="s">
        <v>1021</v>
      </c>
      <c r="AS8" s="40" t="s">
        <v>1029</v>
      </c>
      <c r="AT8" s="40" t="s">
        <v>1030</v>
      </c>
      <c r="AU8" s="35" t="s">
        <v>65</v>
      </c>
      <c r="AV8" s="33" t="s">
        <v>81</v>
      </c>
      <c r="AW8" s="43" t="s">
        <v>97</v>
      </c>
      <c r="AX8" s="44" t="s">
        <v>88</v>
      </c>
      <c r="AY8" s="40" t="s">
        <v>1068</v>
      </c>
    </row>
    <row r="9" customFormat="false" ht="30" hidden="false" customHeight="true" outlineLevel="0" collapsed="false">
      <c r="A9" s="33" t="n">
        <v>7</v>
      </c>
      <c r="B9" s="34" t="s">
        <v>1013</v>
      </c>
      <c r="C9" s="34" t="s">
        <v>1069</v>
      </c>
      <c r="D9" s="34" t="s">
        <v>1069</v>
      </c>
      <c r="E9" s="34" t="s">
        <v>1015</v>
      </c>
      <c r="F9" s="33" t="s">
        <v>1016</v>
      </c>
      <c r="G9" s="34" t="s">
        <v>476</v>
      </c>
      <c r="H9" s="34" t="s">
        <v>1017</v>
      </c>
      <c r="I9" s="34" t="s">
        <v>1018</v>
      </c>
      <c r="J9" s="33" t="s">
        <v>81</v>
      </c>
      <c r="K9" s="34" t="s">
        <v>1019</v>
      </c>
      <c r="L9" s="34" t="s">
        <v>81</v>
      </c>
      <c r="M9" s="34" t="s">
        <v>1020</v>
      </c>
      <c r="N9" s="33" t="s">
        <v>1021</v>
      </c>
      <c r="O9" s="34" t="s">
        <v>1070</v>
      </c>
      <c r="P9" s="33" t="s">
        <v>275</v>
      </c>
      <c r="Q9" s="34" t="s">
        <v>1071</v>
      </c>
      <c r="R9" s="34" t="s">
        <v>1072</v>
      </c>
      <c r="S9" s="34" t="s">
        <v>295</v>
      </c>
      <c r="T9" s="33" t="s">
        <v>279</v>
      </c>
      <c r="U9" s="33" t="s">
        <v>1073</v>
      </c>
      <c r="V9" s="33"/>
      <c r="W9" s="33"/>
      <c r="X9" s="33"/>
      <c r="Y9" s="34" t="s">
        <v>1074</v>
      </c>
      <c r="Z9" s="35" t="s">
        <v>203</v>
      </c>
      <c r="AA9" s="34" t="s">
        <v>1075</v>
      </c>
      <c r="AB9" s="34" t="s">
        <v>551</v>
      </c>
      <c r="AC9" s="33" t="s">
        <v>106</v>
      </c>
      <c r="AD9" s="33" t="s">
        <v>286</v>
      </c>
      <c r="AE9" s="33" t="s">
        <v>203</v>
      </c>
      <c r="AF9" s="33" t="s">
        <v>206</v>
      </c>
      <c r="AG9" s="33" t="s">
        <v>203</v>
      </c>
      <c r="AH9" s="33" t="s">
        <v>203</v>
      </c>
      <c r="AI9" s="33" t="s">
        <v>207</v>
      </c>
      <c r="AJ9" s="33" t="s">
        <v>194</v>
      </c>
      <c r="AK9" s="33" t="s">
        <v>194</v>
      </c>
      <c r="AL9" s="33"/>
      <c r="AM9" s="33"/>
      <c r="AN9" s="33"/>
      <c r="AO9" s="35" t="s">
        <v>208</v>
      </c>
      <c r="AP9" s="33"/>
      <c r="AQ9" s="33"/>
      <c r="AR9" s="34" t="s">
        <v>1021</v>
      </c>
      <c r="AS9" s="34" t="s">
        <v>1029</v>
      </c>
      <c r="AT9" s="34" t="s">
        <v>1030</v>
      </c>
      <c r="AU9" s="35" t="s">
        <v>65</v>
      </c>
      <c r="AV9" s="33" t="s">
        <v>81</v>
      </c>
      <c r="AW9" s="36" t="s">
        <v>95</v>
      </c>
      <c r="AX9" s="42" t="s">
        <v>86</v>
      </c>
      <c r="AY9" s="34" t="s">
        <v>1076</v>
      </c>
    </row>
    <row r="10" customFormat="false" ht="30" hidden="false" customHeight="true" outlineLevel="0" collapsed="false">
      <c r="A10" s="39" t="n">
        <v>8</v>
      </c>
      <c r="B10" s="40" t="s">
        <v>1013</v>
      </c>
      <c r="C10" s="40" t="s">
        <v>1077</v>
      </c>
      <c r="D10" s="40" t="s">
        <v>1077</v>
      </c>
      <c r="E10" s="40" t="s">
        <v>1015</v>
      </c>
      <c r="F10" s="39" t="s">
        <v>1016</v>
      </c>
      <c r="G10" s="40" t="s">
        <v>476</v>
      </c>
      <c r="H10" s="40" t="s">
        <v>1017</v>
      </c>
      <c r="I10" s="40" t="s">
        <v>1018</v>
      </c>
      <c r="J10" s="39" t="s">
        <v>81</v>
      </c>
      <c r="K10" s="40" t="s">
        <v>1019</v>
      </c>
      <c r="L10" s="40" t="s">
        <v>81</v>
      </c>
      <c r="M10" s="40" t="s">
        <v>1020</v>
      </c>
      <c r="N10" s="39" t="s">
        <v>1021</v>
      </c>
      <c r="O10" s="40" t="s">
        <v>1078</v>
      </c>
      <c r="P10" s="39" t="s">
        <v>275</v>
      </c>
      <c r="Q10" s="40" t="s">
        <v>1079</v>
      </c>
      <c r="R10" s="40" t="s">
        <v>1080</v>
      </c>
      <c r="S10" s="40" t="s">
        <v>330</v>
      </c>
      <c r="T10" s="39" t="s">
        <v>520</v>
      </c>
      <c r="U10" s="39" t="s">
        <v>194</v>
      </c>
      <c r="V10" s="39"/>
      <c r="W10" s="39"/>
      <c r="X10" s="39"/>
      <c r="Y10" s="40" t="s">
        <v>1081</v>
      </c>
      <c r="Z10" s="36" t="s">
        <v>97</v>
      </c>
      <c r="AA10" s="40" t="s">
        <v>1082</v>
      </c>
      <c r="AB10" s="40" t="s">
        <v>1083</v>
      </c>
      <c r="AC10" s="39" t="s">
        <v>108</v>
      </c>
      <c r="AD10" s="39" t="s">
        <v>335</v>
      </c>
      <c r="AE10" s="39" t="s">
        <v>203</v>
      </c>
      <c r="AF10" s="39" t="s">
        <v>206</v>
      </c>
      <c r="AG10" s="39" t="s">
        <v>203</v>
      </c>
      <c r="AH10" s="39" t="s">
        <v>203</v>
      </c>
      <c r="AI10" s="39" t="s">
        <v>207</v>
      </c>
      <c r="AJ10" s="39" t="s">
        <v>194</v>
      </c>
      <c r="AK10" s="39" t="s">
        <v>194</v>
      </c>
      <c r="AL10" s="39"/>
      <c r="AM10" s="35" t="s">
        <v>208</v>
      </c>
      <c r="AN10" s="39"/>
      <c r="AO10" s="39"/>
      <c r="AP10" s="39"/>
      <c r="AQ10" s="39"/>
      <c r="AR10" s="40" t="s">
        <v>1021</v>
      </c>
      <c r="AS10" s="40" t="s">
        <v>1029</v>
      </c>
      <c r="AT10" s="40" t="s">
        <v>1030</v>
      </c>
      <c r="AU10" s="35" t="s">
        <v>65</v>
      </c>
      <c r="AV10" s="33" t="s">
        <v>81</v>
      </c>
      <c r="AW10" s="43" t="s">
        <v>97</v>
      </c>
      <c r="AX10" s="44" t="s">
        <v>88</v>
      </c>
      <c r="AY10" s="40"/>
    </row>
    <row r="11" customFormat="false" ht="30" hidden="false" customHeight="true" outlineLevel="0" collapsed="false">
      <c r="A11" s="33" t="n">
        <v>9</v>
      </c>
      <c r="B11" s="34" t="s">
        <v>1013</v>
      </c>
      <c r="C11" s="34" t="s">
        <v>403</v>
      </c>
      <c r="D11" s="34" t="s">
        <v>403</v>
      </c>
      <c r="E11" s="34" t="s">
        <v>1015</v>
      </c>
      <c r="F11" s="33" t="s">
        <v>1016</v>
      </c>
      <c r="G11" s="34" t="s">
        <v>476</v>
      </c>
      <c r="H11" s="34" t="s">
        <v>1017</v>
      </c>
      <c r="I11" s="34" t="s">
        <v>1018</v>
      </c>
      <c r="J11" s="33" t="s">
        <v>81</v>
      </c>
      <c r="K11" s="34" t="s">
        <v>1019</v>
      </c>
      <c r="L11" s="34" t="s">
        <v>81</v>
      </c>
      <c r="M11" s="34" t="s">
        <v>1020</v>
      </c>
      <c r="N11" s="33" t="s">
        <v>1021</v>
      </c>
      <c r="O11" s="34" t="s">
        <v>1084</v>
      </c>
      <c r="P11" s="33" t="s">
        <v>275</v>
      </c>
      <c r="Q11" s="34" t="s">
        <v>1085</v>
      </c>
      <c r="R11" s="34" t="s">
        <v>1086</v>
      </c>
      <c r="S11" s="34" t="s">
        <v>330</v>
      </c>
      <c r="T11" s="33" t="s">
        <v>520</v>
      </c>
      <c r="U11" s="33" t="s">
        <v>194</v>
      </c>
      <c r="V11" s="33"/>
      <c r="W11" s="33"/>
      <c r="X11" s="33"/>
      <c r="Y11" s="34" t="s">
        <v>1087</v>
      </c>
      <c r="Z11" s="35" t="s">
        <v>203</v>
      </c>
      <c r="AA11" s="34" t="s">
        <v>1088</v>
      </c>
      <c r="AB11" s="34" t="s">
        <v>523</v>
      </c>
      <c r="AC11" s="33" t="s">
        <v>108</v>
      </c>
      <c r="AD11" s="33" t="s">
        <v>335</v>
      </c>
      <c r="AE11" s="33" t="s">
        <v>203</v>
      </c>
      <c r="AF11" s="33" t="s">
        <v>206</v>
      </c>
      <c r="AG11" s="33" t="s">
        <v>203</v>
      </c>
      <c r="AH11" s="33" t="s">
        <v>203</v>
      </c>
      <c r="AI11" s="33" t="s">
        <v>207</v>
      </c>
      <c r="AJ11" s="33" t="s">
        <v>194</v>
      </c>
      <c r="AK11" s="33" t="s">
        <v>194</v>
      </c>
      <c r="AL11" s="35" t="s">
        <v>208</v>
      </c>
      <c r="AM11" s="35" t="s">
        <v>208</v>
      </c>
      <c r="AN11" s="33"/>
      <c r="AO11" s="33"/>
      <c r="AP11" s="33"/>
      <c r="AQ11" s="33"/>
      <c r="AR11" s="34" t="s">
        <v>1021</v>
      </c>
      <c r="AS11" s="34" t="s">
        <v>1029</v>
      </c>
      <c r="AT11" s="34" t="s">
        <v>1030</v>
      </c>
      <c r="AU11" s="35" t="s">
        <v>65</v>
      </c>
      <c r="AV11" s="33" t="s">
        <v>81</v>
      </c>
      <c r="AW11" s="36" t="s">
        <v>95</v>
      </c>
      <c r="AX11" s="42" t="s">
        <v>86</v>
      </c>
      <c r="AY11" s="34"/>
    </row>
    <row r="12" customFormat="false" ht="30" hidden="false" customHeight="true" outlineLevel="0" collapsed="false">
      <c r="A12" s="39" t="n">
        <v>10</v>
      </c>
      <c r="B12" s="40" t="s">
        <v>1013</v>
      </c>
      <c r="C12" s="40" t="s">
        <v>403</v>
      </c>
      <c r="D12" s="40" t="s">
        <v>403</v>
      </c>
      <c r="E12" s="40" t="s">
        <v>1015</v>
      </c>
      <c r="F12" s="39" t="s">
        <v>1016</v>
      </c>
      <c r="G12" s="40" t="s">
        <v>476</v>
      </c>
      <c r="H12" s="40" t="s">
        <v>1017</v>
      </c>
      <c r="I12" s="40" t="s">
        <v>1018</v>
      </c>
      <c r="J12" s="39" t="s">
        <v>81</v>
      </c>
      <c r="K12" s="40" t="s">
        <v>1019</v>
      </c>
      <c r="L12" s="40" t="s">
        <v>81</v>
      </c>
      <c r="M12" s="40" t="s">
        <v>1020</v>
      </c>
      <c r="N12" s="39" t="s">
        <v>1021</v>
      </c>
      <c r="O12" s="40" t="s">
        <v>1089</v>
      </c>
      <c r="P12" s="39" t="s">
        <v>275</v>
      </c>
      <c r="Q12" s="40" t="s">
        <v>1090</v>
      </c>
      <c r="R12" s="40" t="s">
        <v>1091</v>
      </c>
      <c r="S12" s="40" t="s">
        <v>330</v>
      </c>
      <c r="T12" s="39" t="s">
        <v>331</v>
      </c>
      <c r="U12" s="39" t="s">
        <v>332</v>
      </c>
      <c r="V12" s="39"/>
      <c r="W12" s="39"/>
      <c r="X12" s="39"/>
      <c r="Y12" s="40" t="s">
        <v>527</v>
      </c>
      <c r="Z12" s="36" t="s">
        <v>97</v>
      </c>
      <c r="AA12" s="40" t="s">
        <v>469</v>
      </c>
      <c r="AB12" s="40" t="s">
        <v>410</v>
      </c>
      <c r="AC12" s="39" t="s">
        <v>108</v>
      </c>
      <c r="AD12" s="39" t="s">
        <v>335</v>
      </c>
      <c r="AE12" s="39" t="s">
        <v>203</v>
      </c>
      <c r="AF12" s="39" t="s">
        <v>206</v>
      </c>
      <c r="AG12" s="39" t="s">
        <v>203</v>
      </c>
      <c r="AH12" s="39" t="s">
        <v>203</v>
      </c>
      <c r="AI12" s="39" t="s">
        <v>203</v>
      </c>
      <c r="AJ12" s="39" t="s">
        <v>81</v>
      </c>
      <c r="AK12" s="39" t="s">
        <v>194</v>
      </c>
      <c r="AL12" s="35" t="s">
        <v>208</v>
      </c>
      <c r="AM12" s="39"/>
      <c r="AN12" s="39"/>
      <c r="AO12" s="39"/>
      <c r="AP12" s="35" t="s">
        <v>208</v>
      </c>
      <c r="AQ12" s="39"/>
      <c r="AR12" s="40" t="s">
        <v>1021</v>
      </c>
      <c r="AS12" s="40" t="s">
        <v>1029</v>
      </c>
      <c r="AT12" s="40" t="s">
        <v>1030</v>
      </c>
      <c r="AU12" s="35" t="s">
        <v>65</v>
      </c>
      <c r="AV12" s="33" t="s">
        <v>81</v>
      </c>
      <c r="AW12" s="43" t="s">
        <v>97</v>
      </c>
      <c r="AX12" s="44" t="s">
        <v>88</v>
      </c>
      <c r="AY12" s="40" t="s">
        <v>1092</v>
      </c>
    </row>
    <row r="13" customFormat="false" ht="30" hidden="false" customHeight="true" outlineLevel="0" collapsed="false">
      <c r="A13" s="33" t="n">
        <v>11</v>
      </c>
      <c r="B13" s="34" t="s">
        <v>1013</v>
      </c>
      <c r="C13" s="34" t="s">
        <v>1093</v>
      </c>
      <c r="D13" s="34" t="s">
        <v>1093</v>
      </c>
      <c r="E13" s="34" t="s">
        <v>1015</v>
      </c>
      <c r="F13" s="33" t="s">
        <v>1016</v>
      </c>
      <c r="G13" s="34" t="s">
        <v>194</v>
      </c>
      <c r="H13" s="34" t="s">
        <v>213</v>
      </c>
      <c r="I13" s="34" t="s">
        <v>194</v>
      </c>
      <c r="J13" s="33" t="s">
        <v>194</v>
      </c>
      <c r="K13" s="34" t="s">
        <v>194</v>
      </c>
      <c r="L13" s="34" t="s">
        <v>194</v>
      </c>
      <c r="M13" s="34" t="s">
        <v>194</v>
      </c>
      <c r="N13" s="33" t="s">
        <v>214</v>
      </c>
      <c r="O13" s="34" t="s">
        <v>1094</v>
      </c>
      <c r="P13" s="33" t="s">
        <v>194</v>
      </c>
      <c r="Q13" s="34" t="s">
        <v>1095</v>
      </c>
      <c r="R13" s="34" t="s">
        <v>1096</v>
      </c>
      <c r="S13" s="34" t="s">
        <v>1097</v>
      </c>
      <c r="T13" s="33" t="s">
        <v>279</v>
      </c>
      <c r="U13" s="33" t="s">
        <v>547</v>
      </c>
      <c r="V13" s="33" t="s">
        <v>1098</v>
      </c>
      <c r="W13" s="33"/>
      <c r="X13" s="33"/>
      <c r="Y13" s="34" t="s">
        <v>1099</v>
      </c>
      <c r="Z13" s="35" t="s">
        <v>203</v>
      </c>
      <c r="AA13" s="34" t="s">
        <v>1100</v>
      </c>
      <c r="AB13" s="34" t="s">
        <v>551</v>
      </c>
      <c r="AC13" s="33" t="s">
        <v>110</v>
      </c>
      <c r="AD13" s="33" t="s">
        <v>1101</v>
      </c>
      <c r="AE13" s="33" t="s">
        <v>203</v>
      </c>
      <c r="AF13" s="33" t="s">
        <v>206</v>
      </c>
      <c r="AG13" s="33" t="s">
        <v>203</v>
      </c>
      <c r="AH13" s="33" t="s">
        <v>1102</v>
      </c>
      <c r="AI13" s="33" t="s">
        <v>207</v>
      </c>
      <c r="AJ13" s="33" t="s">
        <v>194</v>
      </c>
      <c r="AK13" s="33" t="s">
        <v>194</v>
      </c>
      <c r="AL13" s="33"/>
      <c r="AM13" s="33"/>
      <c r="AN13" s="33"/>
      <c r="AO13" s="35" t="s">
        <v>208</v>
      </c>
      <c r="AP13" s="33"/>
      <c r="AQ13" s="33"/>
      <c r="AR13" s="34" t="s">
        <v>214</v>
      </c>
      <c r="AS13" s="34" t="s">
        <v>194</v>
      </c>
      <c r="AT13" s="34" t="s">
        <v>221</v>
      </c>
      <c r="AU13" s="41" t="s">
        <v>75</v>
      </c>
      <c r="AV13" s="33" t="s">
        <v>81</v>
      </c>
      <c r="AW13" s="36" t="s">
        <v>95</v>
      </c>
      <c r="AX13" s="42" t="s">
        <v>86</v>
      </c>
      <c r="AY13" s="34" t="s">
        <v>1103</v>
      </c>
    </row>
    <row r="14" customFormat="false" ht="30" hidden="false" customHeight="true" outlineLevel="0" collapsed="false">
      <c r="A14" s="39" t="n">
        <v>12</v>
      </c>
      <c r="B14" s="40" t="s">
        <v>1013</v>
      </c>
      <c r="C14" s="40" t="s">
        <v>1093</v>
      </c>
      <c r="D14" s="40" t="s">
        <v>1093</v>
      </c>
      <c r="E14" s="40" t="s">
        <v>1015</v>
      </c>
      <c r="F14" s="39" t="s">
        <v>1016</v>
      </c>
      <c r="G14" s="40" t="s">
        <v>194</v>
      </c>
      <c r="H14" s="40" t="s">
        <v>213</v>
      </c>
      <c r="I14" s="40" t="s">
        <v>194</v>
      </c>
      <c r="J14" s="39" t="s">
        <v>194</v>
      </c>
      <c r="K14" s="40" t="s">
        <v>194</v>
      </c>
      <c r="L14" s="40" t="s">
        <v>194</v>
      </c>
      <c r="M14" s="40" t="s">
        <v>194</v>
      </c>
      <c r="N14" s="39" t="s">
        <v>214</v>
      </c>
      <c r="O14" s="40" t="s">
        <v>1104</v>
      </c>
      <c r="P14" s="39" t="s">
        <v>194</v>
      </c>
      <c r="Q14" s="40" t="s">
        <v>1105</v>
      </c>
      <c r="R14" s="40" t="s">
        <v>1106</v>
      </c>
      <c r="S14" s="40" t="s">
        <v>1097</v>
      </c>
      <c r="T14" s="39" t="s">
        <v>279</v>
      </c>
      <c r="U14" s="39" t="s">
        <v>1107</v>
      </c>
      <c r="V14" s="39"/>
      <c r="W14" s="39"/>
      <c r="X14" s="39"/>
      <c r="Y14" s="40" t="s">
        <v>1108</v>
      </c>
      <c r="Z14" s="35" t="s">
        <v>203</v>
      </c>
      <c r="AA14" s="40" t="s">
        <v>1109</v>
      </c>
      <c r="AB14" s="40" t="s">
        <v>179</v>
      </c>
      <c r="AC14" s="39" t="s">
        <v>110</v>
      </c>
      <c r="AD14" s="39" t="s">
        <v>1101</v>
      </c>
      <c r="AE14" s="39" t="s">
        <v>203</v>
      </c>
      <c r="AF14" s="39" t="s">
        <v>206</v>
      </c>
      <c r="AG14" s="39" t="s">
        <v>203</v>
      </c>
      <c r="AH14" s="39" t="s">
        <v>1102</v>
      </c>
      <c r="AI14" s="39" t="s">
        <v>207</v>
      </c>
      <c r="AJ14" s="39" t="s">
        <v>194</v>
      </c>
      <c r="AK14" s="39" t="s">
        <v>194</v>
      </c>
      <c r="AL14" s="39"/>
      <c r="AM14" s="39"/>
      <c r="AN14" s="39"/>
      <c r="AO14" s="35" t="s">
        <v>208</v>
      </c>
      <c r="AP14" s="39"/>
      <c r="AQ14" s="39"/>
      <c r="AR14" s="40" t="s">
        <v>214</v>
      </c>
      <c r="AS14" s="40" t="s">
        <v>194</v>
      </c>
      <c r="AT14" s="40" t="s">
        <v>221</v>
      </c>
      <c r="AU14" s="41" t="s">
        <v>75</v>
      </c>
      <c r="AV14" s="33" t="s">
        <v>81</v>
      </c>
      <c r="AW14" s="36" t="s">
        <v>95</v>
      </c>
      <c r="AX14" s="42" t="s">
        <v>86</v>
      </c>
      <c r="AY14" s="40"/>
    </row>
    <row r="15" customFormat="false" ht="30" hidden="false" customHeight="true" outlineLevel="0" collapsed="false">
      <c r="A15" s="33" t="n">
        <v>13</v>
      </c>
      <c r="B15" s="34" t="s">
        <v>1013</v>
      </c>
      <c r="C15" s="34" t="s">
        <v>1110</v>
      </c>
      <c r="D15" s="34" t="s">
        <v>1110</v>
      </c>
      <c r="E15" s="34" t="s">
        <v>1015</v>
      </c>
      <c r="F15" s="33" t="s">
        <v>1016</v>
      </c>
      <c r="G15" s="34" t="s">
        <v>194</v>
      </c>
      <c r="H15" s="34" t="s">
        <v>213</v>
      </c>
      <c r="I15" s="34" t="s">
        <v>194</v>
      </c>
      <c r="J15" s="33" t="s">
        <v>194</v>
      </c>
      <c r="K15" s="34" t="s">
        <v>194</v>
      </c>
      <c r="L15" s="34" t="s">
        <v>194</v>
      </c>
      <c r="M15" s="34" t="s">
        <v>194</v>
      </c>
      <c r="N15" s="33" t="s">
        <v>214</v>
      </c>
      <c r="O15" s="34" t="s">
        <v>1111</v>
      </c>
      <c r="P15" s="33" t="s">
        <v>194</v>
      </c>
      <c r="Q15" s="34" t="s">
        <v>1112</v>
      </c>
      <c r="R15" s="34" t="s">
        <v>1113</v>
      </c>
      <c r="S15" s="34" t="s">
        <v>179</v>
      </c>
      <c r="T15" s="33" t="s">
        <v>279</v>
      </c>
      <c r="U15" s="33" t="s">
        <v>1114</v>
      </c>
      <c r="V15" s="33"/>
      <c r="W15" s="33"/>
      <c r="X15" s="33"/>
      <c r="Y15" s="34" t="s">
        <v>1115</v>
      </c>
      <c r="Z15" s="35" t="s">
        <v>203</v>
      </c>
      <c r="AA15" s="34" t="s">
        <v>1116</v>
      </c>
      <c r="AB15" s="34" t="s">
        <v>179</v>
      </c>
      <c r="AC15" s="33" t="s">
        <v>110</v>
      </c>
      <c r="AD15" s="33" t="s">
        <v>1117</v>
      </c>
      <c r="AE15" s="33" t="s">
        <v>203</v>
      </c>
      <c r="AF15" s="33" t="s">
        <v>206</v>
      </c>
      <c r="AG15" s="33" t="s">
        <v>203</v>
      </c>
      <c r="AH15" s="33" t="s">
        <v>1102</v>
      </c>
      <c r="AI15" s="33" t="s">
        <v>207</v>
      </c>
      <c r="AJ15" s="33" t="s">
        <v>194</v>
      </c>
      <c r="AK15" s="33" t="s">
        <v>194</v>
      </c>
      <c r="AL15" s="33"/>
      <c r="AM15" s="33"/>
      <c r="AN15" s="33"/>
      <c r="AO15" s="35" t="s">
        <v>208</v>
      </c>
      <c r="AP15" s="33"/>
      <c r="AQ15" s="33"/>
      <c r="AR15" s="34" t="s">
        <v>214</v>
      </c>
      <c r="AS15" s="34" t="s">
        <v>194</v>
      </c>
      <c r="AT15" s="34" t="s">
        <v>221</v>
      </c>
      <c r="AU15" s="41" t="s">
        <v>75</v>
      </c>
      <c r="AV15" s="33" t="s">
        <v>81</v>
      </c>
      <c r="AW15" s="36" t="s">
        <v>95</v>
      </c>
      <c r="AX15" s="42" t="s">
        <v>86</v>
      </c>
      <c r="AY15" s="34" t="s">
        <v>1118</v>
      </c>
    </row>
  </sheetData>
  <mergeCells count="1">
    <mergeCell ref="A1:A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8" min="18" style="0" width="34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1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22"/>
    <col collapsed="false" customWidth="true" hidden="false" outlineLevel="0" max="26" min="26" style="0" width="9"/>
    <col collapsed="false" customWidth="true" hidden="false" outlineLevel="0" max="27" min="27" style="0" width="30"/>
    <col collapsed="false" customWidth="true" hidden="false" outlineLevel="0" max="28" min="28" style="0" width="20"/>
    <col collapsed="false" customWidth="true" hidden="false" outlineLevel="0" max="29" min="29" style="0" width="13"/>
    <col collapsed="false" customWidth="true" hidden="false" outlineLevel="0" max="30" min="30" style="0" width="14"/>
    <col collapsed="false" customWidth="true" hidden="false" outlineLevel="0" max="31" min="31" style="0" width="9"/>
    <col collapsed="false" customWidth="true" hidden="false" outlineLevel="0" max="32" min="32" style="0" width="18"/>
    <col collapsed="false" customWidth="true" hidden="false" outlineLevel="0" max="33" min="33" style="0" width="9"/>
    <col collapsed="false" customWidth="true" hidden="false" outlineLevel="0" max="35" min="34" style="0" width="8"/>
    <col collapsed="false" customWidth="true" hidden="false" outlineLevel="0" max="37" min="36" style="0" width="11"/>
    <col collapsed="false" customWidth="true" hidden="false" outlineLevel="0" max="38" min="38" style="0" width="8"/>
    <col collapsed="false" customWidth="true" hidden="false" outlineLevel="0" max="39" min="39" style="0" width="6"/>
    <col collapsed="false" customWidth="true" hidden="false" outlineLevel="0" max="40" min="40" style="0" width="9"/>
    <col collapsed="false" customWidth="true" hidden="false" outlineLevel="0" max="41" min="41" style="0" width="8"/>
    <col collapsed="false" customWidth="true" hidden="false" outlineLevel="0" max="42" min="42" style="0" width="10"/>
    <col collapsed="false" customWidth="true" hidden="false" outlineLevel="0" max="43" min="43" style="0" width="7"/>
    <col collapsed="false" customWidth="true" hidden="false" outlineLevel="0" max="45" min="44" style="0" width="18"/>
    <col collapsed="false" customWidth="true" hidden="false" outlineLevel="0" max="47" min="46" style="0" width="22"/>
    <col collapsed="false" customWidth="true" hidden="false" outlineLevel="0" max="48" min="48" style="0" width="13"/>
    <col collapsed="false" customWidth="true" hidden="false" outlineLevel="0" max="49" min="49" style="0" width="11"/>
    <col collapsed="false" customWidth="true" hidden="false" outlineLevel="0" max="50" min="50" style="0" width="9"/>
    <col collapsed="false" customWidth="true" hidden="false" outlineLevel="0" max="51" min="51" style="0" width="40"/>
  </cols>
  <sheetData>
    <row r="1" customFormat="false" ht="21.75" hidden="false" customHeight="true" outlineLevel="0" collapsed="false">
      <c r="A1" s="31" t="s">
        <v>1119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</row>
    <row r="2" customFormat="false" ht="19.4" hidden="false" customHeight="false" outlineLevel="0" collapsed="false">
      <c r="A2" s="32" t="s">
        <v>140</v>
      </c>
      <c r="B2" s="32" t="s">
        <v>141</v>
      </c>
      <c r="C2" s="32" t="s">
        <v>142</v>
      </c>
      <c r="D2" s="32" t="s">
        <v>143</v>
      </c>
      <c r="E2" s="32" t="s">
        <v>144</v>
      </c>
      <c r="F2" s="32" t="s">
        <v>145</v>
      </c>
      <c r="G2" s="32" t="s">
        <v>146</v>
      </c>
      <c r="H2" s="32" t="s">
        <v>147</v>
      </c>
      <c r="I2" s="32" t="s">
        <v>148</v>
      </c>
      <c r="J2" s="32" t="s">
        <v>149</v>
      </c>
      <c r="K2" s="32" t="s">
        <v>150</v>
      </c>
      <c r="L2" s="32" t="s">
        <v>151</v>
      </c>
      <c r="M2" s="32" t="s">
        <v>152</v>
      </c>
      <c r="N2" s="32" t="s">
        <v>153</v>
      </c>
      <c r="O2" s="32" t="s">
        <v>154</v>
      </c>
      <c r="P2" s="32" t="s">
        <v>155</v>
      </c>
      <c r="Q2" s="32" t="s">
        <v>156</v>
      </c>
      <c r="R2" s="32" t="s">
        <v>157</v>
      </c>
      <c r="S2" s="32" t="s">
        <v>117</v>
      </c>
      <c r="T2" s="32" t="s">
        <v>158</v>
      </c>
      <c r="U2" s="32" t="s">
        <v>159</v>
      </c>
      <c r="V2" s="32" t="s">
        <v>160</v>
      </c>
      <c r="W2" s="32" t="s">
        <v>161</v>
      </c>
      <c r="X2" s="32" t="s">
        <v>162</v>
      </c>
      <c r="Y2" s="32" t="s">
        <v>163</v>
      </c>
      <c r="Z2" s="32" t="s">
        <v>164</v>
      </c>
      <c r="AA2" s="32" t="s">
        <v>165</v>
      </c>
      <c r="AB2" s="32" t="s">
        <v>166</v>
      </c>
      <c r="AC2" s="32" t="s">
        <v>167</v>
      </c>
      <c r="AD2" s="32" t="s">
        <v>168</v>
      </c>
      <c r="AE2" s="32" t="s">
        <v>169</v>
      </c>
      <c r="AF2" s="32" t="s">
        <v>170</v>
      </c>
      <c r="AG2" s="32" t="s">
        <v>171</v>
      </c>
      <c r="AH2" s="32" t="s">
        <v>172</v>
      </c>
      <c r="AI2" s="32" t="s">
        <v>173</v>
      </c>
      <c r="AJ2" s="32" t="s">
        <v>174</v>
      </c>
      <c r="AK2" s="32" t="s">
        <v>175</v>
      </c>
      <c r="AL2" s="32" t="s">
        <v>176</v>
      </c>
      <c r="AM2" s="32" t="s">
        <v>177</v>
      </c>
      <c r="AN2" s="32" t="s">
        <v>178</v>
      </c>
      <c r="AO2" s="32" t="s">
        <v>179</v>
      </c>
      <c r="AP2" s="32" t="s">
        <v>180</v>
      </c>
      <c r="AQ2" s="32" t="s">
        <v>181</v>
      </c>
      <c r="AR2" s="32" t="s">
        <v>182</v>
      </c>
      <c r="AS2" s="32" t="s">
        <v>183</v>
      </c>
      <c r="AT2" s="32" t="s">
        <v>184</v>
      </c>
      <c r="AU2" s="32" t="s">
        <v>185</v>
      </c>
      <c r="AV2" s="32" t="s">
        <v>186</v>
      </c>
      <c r="AW2" s="32" t="s">
        <v>187</v>
      </c>
      <c r="AX2" s="32" t="s">
        <v>188</v>
      </c>
      <c r="AY2" s="32" t="s">
        <v>189</v>
      </c>
    </row>
    <row r="3" customFormat="false" ht="30" hidden="false" customHeight="true" outlineLevel="0" collapsed="false">
      <c r="A3" s="33" t="n">
        <v>1</v>
      </c>
      <c r="B3" s="34" t="s">
        <v>1120</v>
      </c>
      <c r="C3" s="34" t="s">
        <v>1121</v>
      </c>
      <c r="D3" s="34" t="s">
        <v>1121</v>
      </c>
      <c r="E3" s="34" t="s">
        <v>1122</v>
      </c>
      <c r="F3" s="33" t="s">
        <v>1123</v>
      </c>
      <c r="G3" s="34" t="s">
        <v>1124</v>
      </c>
      <c r="H3" s="34" t="s">
        <v>1125</v>
      </c>
      <c r="I3" s="34" t="s">
        <v>1126</v>
      </c>
      <c r="J3" s="33" t="s">
        <v>1127</v>
      </c>
      <c r="K3" s="34" t="s">
        <v>194</v>
      </c>
      <c r="L3" s="34" t="s">
        <v>194</v>
      </c>
      <c r="M3" s="34" t="s">
        <v>1128</v>
      </c>
      <c r="N3" s="33" t="s">
        <v>363</v>
      </c>
      <c r="O3" s="34" t="s">
        <v>1129</v>
      </c>
      <c r="P3" s="33" t="s">
        <v>275</v>
      </c>
      <c r="Q3" s="34" t="s">
        <v>1130</v>
      </c>
      <c r="R3" s="34" t="s">
        <v>1131</v>
      </c>
      <c r="S3" s="34" t="s">
        <v>1132</v>
      </c>
      <c r="T3" s="33" t="s">
        <v>279</v>
      </c>
      <c r="U3" s="33" t="s">
        <v>1133</v>
      </c>
      <c r="V3" s="33"/>
      <c r="W3" s="33"/>
      <c r="X3" s="33"/>
      <c r="Y3" s="34" t="s">
        <v>1134</v>
      </c>
      <c r="Z3" s="35" t="s">
        <v>203</v>
      </c>
      <c r="AA3" s="34" t="s">
        <v>1135</v>
      </c>
      <c r="AB3" s="34" t="s">
        <v>1136</v>
      </c>
      <c r="AC3" s="33" t="s">
        <v>106</v>
      </c>
      <c r="AD3" s="33" t="s">
        <v>286</v>
      </c>
      <c r="AE3" s="33" t="s">
        <v>203</v>
      </c>
      <c r="AF3" s="33" t="s">
        <v>206</v>
      </c>
      <c r="AG3" s="33" t="s">
        <v>203</v>
      </c>
      <c r="AH3" s="33" t="s">
        <v>203</v>
      </c>
      <c r="AI3" s="33" t="s">
        <v>207</v>
      </c>
      <c r="AJ3" s="33" t="s">
        <v>194</v>
      </c>
      <c r="AK3" s="33" t="s">
        <v>194</v>
      </c>
      <c r="AL3" s="33"/>
      <c r="AM3" s="33"/>
      <c r="AN3" s="33"/>
      <c r="AO3" s="35" t="s">
        <v>208</v>
      </c>
      <c r="AP3" s="35" t="s">
        <v>208</v>
      </c>
      <c r="AQ3" s="33"/>
      <c r="AR3" s="34" t="s">
        <v>363</v>
      </c>
      <c r="AS3" s="34" t="s">
        <v>1137</v>
      </c>
      <c r="AT3" s="34" t="s">
        <v>1138</v>
      </c>
      <c r="AU3" s="36" t="s">
        <v>67</v>
      </c>
      <c r="AV3" s="33" t="s">
        <v>81</v>
      </c>
      <c r="AW3" s="36" t="s">
        <v>95</v>
      </c>
      <c r="AX3" s="42" t="s">
        <v>86</v>
      </c>
      <c r="AY3" s="34" t="s">
        <v>1139</v>
      </c>
    </row>
    <row r="4" customFormat="false" ht="30" hidden="false" customHeight="true" outlineLevel="0" collapsed="false">
      <c r="A4" s="39" t="n">
        <v>2</v>
      </c>
      <c r="B4" s="40" t="s">
        <v>1120</v>
      </c>
      <c r="C4" s="40" t="s">
        <v>1140</v>
      </c>
      <c r="D4" s="40" t="s">
        <v>1140</v>
      </c>
      <c r="E4" s="40" t="s">
        <v>1122</v>
      </c>
      <c r="F4" s="39" t="s">
        <v>1123</v>
      </c>
      <c r="G4" s="40" t="s">
        <v>1124</v>
      </c>
      <c r="H4" s="40" t="s">
        <v>1125</v>
      </c>
      <c r="I4" s="40" t="s">
        <v>1126</v>
      </c>
      <c r="J4" s="39" t="s">
        <v>1127</v>
      </c>
      <c r="K4" s="40" t="s">
        <v>194</v>
      </c>
      <c r="L4" s="40" t="s">
        <v>194</v>
      </c>
      <c r="M4" s="40" t="s">
        <v>1128</v>
      </c>
      <c r="N4" s="39" t="s">
        <v>363</v>
      </c>
      <c r="O4" s="40" t="s">
        <v>1141</v>
      </c>
      <c r="P4" s="39" t="s">
        <v>275</v>
      </c>
      <c r="Q4" s="40" t="s">
        <v>1142</v>
      </c>
      <c r="R4" s="40" t="s">
        <v>1143</v>
      </c>
      <c r="S4" s="40" t="s">
        <v>295</v>
      </c>
      <c r="T4" s="39" t="s">
        <v>279</v>
      </c>
      <c r="U4" s="39" t="s">
        <v>1144</v>
      </c>
      <c r="V4" s="39"/>
      <c r="W4" s="39"/>
      <c r="X4" s="39"/>
      <c r="Y4" s="40"/>
      <c r="Z4" s="36" t="s">
        <v>97</v>
      </c>
      <c r="AA4" s="40" t="s">
        <v>1145</v>
      </c>
      <c r="AB4" s="40" t="s">
        <v>300</v>
      </c>
      <c r="AC4" s="39" t="s">
        <v>106</v>
      </c>
      <c r="AD4" s="39" t="s">
        <v>286</v>
      </c>
      <c r="AE4" s="39" t="s">
        <v>203</v>
      </c>
      <c r="AF4" s="39" t="s">
        <v>206</v>
      </c>
      <c r="AG4" s="39" t="s">
        <v>203</v>
      </c>
      <c r="AH4" s="39" t="s">
        <v>203</v>
      </c>
      <c r="AI4" s="39" t="s">
        <v>207</v>
      </c>
      <c r="AJ4" s="39" t="s">
        <v>194</v>
      </c>
      <c r="AK4" s="39" t="s">
        <v>194</v>
      </c>
      <c r="AL4" s="39"/>
      <c r="AM4" s="39"/>
      <c r="AN4" s="39"/>
      <c r="AO4" s="39"/>
      <c r="AP4" s="39"/>
      <c r="AQ4" s="39"/>
      <c r="AR4" s="40" t="s">
        <v>363</v>
      </c>
      <c r="AS4" s="40" t="s">
        <v>1137</v>
      </c>
      <c r="AT4" s="40" t="s">
        <v>1138</v>
      </c>
      <c r="AU4" s="36" t="s">
        <v>67</v>
      </c>
      <c r="AV4" s="33" t="s">
        <v>81</v>
      </c>
      <c r="AW4" s="43" t="s">
        <v>97</v>
      </c>
      <c r="AX4" s="44" t="s">
        <v>88</v>
      </c>
      <c r="AY4" s="40"/>
    </row>
    <row r="5" customFormat="false" ht="30" hidden="false" customHeight="true" outlineLevel="0" collapsed="false">
      <c r="A5" s="33" t="n">
        <v>3</v>
      </c>
      <c r="B5" s="34" t="s">
        <v>1120</v>
      </c>
      <c r="C5" s="34" t="s">
        <v>1140</v>
      </c>
      <c r="D5" s="34" t="s">
        <v>1140</v>
      </c>
      <c r="E5" s="34" t="s">
        <v>1122</v>
      </c>
      <c r="F5" s="33" t="s">
        <v>1123</v>
      </c>
      <c r="G5" s="34" t="s">
        <v>1124</v>
      </c>
      <c r="H5" s="34" t="s">
        <v>1125</v>
      </c>
      <c r="I5" s="34" t="s">
        <v>1126</v>
      </c>
      <c r="J5" s="33" t="s">
        <v>1127</v>
      </c>
      <c r="K5" s="34" t="s">
        <v>194</v>
      </c>
      <c r="L5" s="34" t="s">
        <v>194</v>
      </c>
      <c r="M5" s="34" t="s">
        <v>1128</v>
      </c>
      <c r="N5" s="33" t="s">
        <v>363</v>
      </c>
      <c r="O5" s="34" t="s">
        <v>1146</v>
      </c>
      <c r="P5" s="33" t="s">
        <v>275</v>
      </c>
      <c r="Q5" s="34" t="s">
        <v>1147</v>
      </c>
      <c r="R5" s="34" t="s">
        <v>1148</v>
      </c>
      <c r="S5" s="34" t="s">
        <v>295</v>
      </c>
      <c r="T5" s="33" t="s">
        <v>279</v>
      </c>
      <c r="U5" s="33" t="s">
        <v>1149</v>
      </c>
      <c r="V5" s="33"/>
      <c r="W5" s="33"/>
      <c r="X5" s="33"/>
      <c r="Y5" s="34"/>
      <c r="Z5" s="36" t="s">
        <v>97</v>
      </c>
      <c r="AA5" s="34" t="s">
        <v>1150</v>
      </c>
      <c r="AB5" s="34" t="s">
        <v>300</v>
      </c>
      <c r="AC5" s="33" t="s">
        <v>106</v>
      </c>
      <c r="AD5" s="33" t="s">
        <v>286</v>
      </c>
      <c r="AE5" s="33" t="s">
        <v>203</v>
      </c>
      <c r="AF5" s="33" t="s">
        <v>206</v>
      </c>
      <c r="AG5" s="33" t="s">
        <v>203</v>
      </c>
      <c r="AH5" s="33" t="s">
        <v>203</v>
      </c>
      <c r="AI5" s="33" t="s">
        <v>207</v>
      </c>
      <c r="AJ5" s="33" t="s">
        <v>194</v>
      </c>
      <c r="AK5" s="33" t="s">
        <v>194</v>
      </c>
      <c r="AL5" s="33"/>
      <c r="AM5" s="33"/>
      <c r="AN5" s="33"/>
      <c r="AO5" s="33"/>
      <c r="AP5" s="33"/>
      <c r="AQ5" s="33"/>
      <c r="AR5" s="34" t="s">
        <v>363</v>
      </c>
      <c r="AS5" s="34" t="s">
        <v>1137</v>
      </c>
      <c r="AT5" s="34" t="s">
        <v>1138</v>
      </c>
      <c r="AU5" s="36" t="s">
        <v>67</v>
      </c>
      <c r="AV5" s="33" t="s">
        <v>81</v>
      </c>
      <c r="AW5" s="43" t="s">
        <v>97</v>
      </c>
      <c r="AX5" s="45" t="s">
        <v>90</v>
      </c>
      <c r="AY5" s="34"/>
    </row>
    <row r="6" customFormat="false" ht="30" hidden="false" customHeight="true" outlineLevel="0" collapsed="false">
      <c r="A6" s="39" t="n">
        <v>4</v>
      </c>
      <c r="B6" s="40" t="s">
        <v>1120</v>
      </c>
      <c r="C6" s="40" t="s">
        <v>529</v>
      </c>
      <c r="D6" s="40" t="s">
        <v>529</v>
      </c>
      <c r="E6" s="40" t="s">
        <v>1122</v>
      </c>
      <c r="F6" s="39" t="s">
        <v>1123</v>
      </c>
      <c r="G6" s="40" t="s">
        <v>1124</v>
      </c>
      <c r="H6" s="40" t="s">
        <v>1125</v>
      </c>
      <c r="I6" s="40" t="s">
        <v>1126</v>
      </c>
      <c r="J6" s="39" t="s">
        <v>1127</v>
      </c>
      <c r="K6" s="40" t="s">
        <v>194</v>
      </c>
      <c r="L6" s="40" t="s">
        <v>194</v>
      </c>
      <c r="M6" s="40" t="s">
        <v>1128</v>
      </c>
      <c r="N6" s="39" t="s">
        <v>363</v>
      </c>
      <c r="O6" s="40" t="s">
        <v>1151</v>
      </c>
      <c r="P6" s="39" t="s">
        <v>275</v>
      </c>
      <c r="Q6" s="40" t="s">
        <v>1152</v>
      </c>
      <c r="R6" s="40" t="s">
        <v>1153</v>
      </c>
      <c r="S6" s="40" t="s">
        <v>178</v>
      </c>
      <c r="T6" s="39" t="s">
        <v>533</v>
      </c>
      <c r="U6" s="39" t="s">
        <v>534</v>
      </c>
      <c r="V6" s="39"/>
      <c r="W6" s="39"/>
      <c r="X6" s="39"/>
      <c r="Y6" s="40"/>
      <c r="Z6" s="35" t="s">
        <v>203</v>
      </c>
      <c r="AA6" s="40" t="s">
        <v>1154</v>
      </c>
      <c r="AB6" s="40" t="s">
        <v>285</v>
      </c>
      <c r="AC6" s="39" t="s">
        <v>108</v>
      </c>
      <c r="AD6" s="39" t="s">
        <v>335</v>
      </c>
      <c r="AE6" s="39" t="s">
        <v>203</v>
      </c>
      <c r="AF6" s="39" t="s">
        <v>206</v>
      </c>
      <c r="AG6" s="39" t="s">
        <v>203</v>
      </c>
      <c r="AH6" s="39" t="s">
        <v>203</v>
      </c>
      <c r="AI6" s="39" t="s">
        <v>207</v>
      </c>
      <c r="AJ6" s="39" t="s">
        <v>194</v>
      </c>
      <c r="AK6" s="39" t="s">
        <v>194</v>
      </c>
      <c r="AL6" s="39"/>
      <c r="AM6" s="35" t="s">
        <v>208</v>
      </c>
      <c r="AN6" s="35" t="s">
        <v>208</v>
      </c>
      <c r="AO6" s="39"/>
      <c r="AP6" s="39"/>
      <c r="AQ6" s="39"/>
      <c r="AR6" s="40" t="s">
        <v>363</v>
      </c>
      <c r="AS6" s="40" t="s">
        <v>1137</v>
      </c>
      <c r="AT6" s="40" t="s">
        <v>1138</v>
      </c>
      <c r="AU6" s="36" t="s">
        <v>67</v>
      </c>
      <c r="AV6" s="33" t="s">
        <v>81</v>
      </c>
      <c r="AW6" s="36" t="s">
        <v>95</v>
      </c>
      <c r="AX6" s="42" t="s">
        <v>86</v>
      </c>
      <c r="AY6" s="40" t="s">
        <v>1155</v>
      </c>
    </row>
    <row r="7" customFormat="false" ht="30" hidden="false" customHeight="true" outlineLevel="0" collapsed="false">
      <c r="A7" s="33" t="n">
        <v>5</v>
      </c>
      <c r="B7" s="34" t="s">
        <v>1120</v>
      </c>
      <c r="C7" s="34" t="s">
        <v>1156</v>
      </c>
      <c r="D7" s="34" t="s">
        <v>1156</v>
      </c>
      <c r="E7" s="34" t="s">
        <v>1122</v>
      </c>
      <c r="F7" s="33" t="s">
        <v>1123</v>
      </c>
      <c r="G7" s="34" t="s">
        <v>1124</v>
      </c>
      <c r="H7" s="34" t="s">
        <v>1125</v>
      </c>
      <c r="I7" s="34" t="s">
        <v>1126</v>
      </c>
      <c r="J7" s="33" t="s">
        <v>1127</v>
      </c>
      <c r="K7" s="34" t="s">
        <v>194</v>
      </c>
      <c r="L7" s="34" t="s">
        <v>194</v>
      </c>
      <c r="M7" s="34" t="s">
        <v>1128</v>
      </c>
      <c r="N7" s="33" t="s">
        <v>363</v>
      </c>
      <c r="O7" s="34" t="s">
        <v>1157</v>
      </c>
      <c r="P7" s="33" t="s">
        <v>275</v>
      </c>
      <c r="Q7" s="34" t="s">
        <v>1158</v>
      </c>
      <c r="R7" s="34" t="s">
        <v>1159</v>
      </c>
      <c r="S7" s="34" t="s">
        <v>295</v>
      </c>
      <c r="T7" s="33" t="s">
        <v>279</v>
      </c>
      <c r="U7" s="33" t="s">
        <v>1160</v>
      </c>
      <c r="V7" s="33"/>
      <c r="W7" s="33"/>
      <c r="X7" s="33"/>
      <c r="Y7" s="34"/>
      <c r="Z7" s="35" t="s">
        <v>203</v>
      </c>
      <c r="AA7" s="34" t="s">
        <v>1161</v>
      </c>
      <c r="AB7" s="34" t="s">
        <v>177</v>
      </c>
      <c r="AC7" s="33" t="s">
        <v>108</v>
      </c>
      <c r="AD7" s="33" t="s">
        <v>1162</v>
      </c>
      <c r="AE7" s="33" t="s">
        <v>203</v>
      </c>
      <c r="AF7" s="33" t="s">
        <v>206</v>
      </c>
      <c r="AG7" s="33" t="s">
        <v>203</v>
      </c>
      <c r="AH7" s="33" t="s">
        <v>203</v>
      </c>
      <c r="AI7" s="33" t="s">
        <v>207</v>
      </c>
      <c r="AJ7" s="33" t="s">
        <v>194</v>
      </c>
      <c r="AK7" s="33" t="s">
        <v>194</v>
      </c>
      <c r="AL7" s="33"/>
      <c r="AM7" s="35" t="s">
        <v>208</v>
      </c>
      <c r="AN7" s="33"/>
      <c r="AO7" s="33"/>
      <c r="AP7" s="33"/>
      <c r="AQ7" s="33"/>
      <c r="AR7" s="34" t="s">
        <v>363</v>
      </c>
      <c r="AS7" s="34" t="s">
        <v>1137</v>
      </c>
      <c r="AT7" s="34" t="s">
        <v>1138</v>
      </c>
      <c r="AU7" s="36" t="s">
        <v>67</v>
      </c>
      <c r="AV7" s="33" t="s">
        <v>81</v>
      </c>
      <c r="AW7" s="43" t="s">
        <v>97</v>
      </c>
      <c r="AX7" s="44" t="s">
        <v>88</v>
      </c>
      <c r="AY7" s="34" t="s">
        <v>1163</v>
      </c>
    </row>
    <row r="8" customFormat="false" ht="30" hidden="false" customHeight="true" outlineLevel="0" collapsed="false">
      <c r="A8" s="39" t="n">
        <v>6</v>
      </c>
      <c r="B8" s="40" t="s">
        <v>1120</v>
      </c>
      <c r="C8" s="40" t="s">
        <v>178</v>
      </c>
      <c r="D8" s="40" t="s">
        <v>178</v>
      </c>
      <c r="E8" s="40" t="s">
        <v>1122</v>
      </c>
      <c r="F8" s="39" t="s">
        <v>1123</v>
      </c>
      <c r="G8" s="40" t="s">
        <v>194</v>
      </c>
      <c r="H8" s="40" t="s">
        <v>213</v>
      </c>
      <c r="I8" s="40" t="s">
        <v>194</v>
      </c>
      <c r="J8" s="39" t="s">
        <v>194</v>
      </c>
      <c r="K8" s="40" t="s">
        <v>194</v>
      </c>
      <c r="L8" s="40" t="s">
        <v>194</v>
      </c>
      <c r="M8" s="40" t="s">
        <v>194</v>
      </c>
      <c r="N8" s="39" t="s">
        <v>214</v>
      </c>
      <c r="O8" s="40" t="s">
        <v>1164</v>
      </c>
      <c r="P8" s="39" t="s">
        <v>194</v>
      </c>
      <c r="Q8" s="40" t="s">
        <v>1165</v>
      </c>
      <c r="R8" s="40" t="s">
        <v>1166</v>
      </c>
      <c r="S8" s="40" t="s">
        <v>1167</v>
      </c>
      <c r="T8" s="39" t="s">
        <v>339</v>
      </c>
      <c r="U8" s="39" t="s">
        <v>1168</v>
      </c>
      <c r="V8" s="39"/>
      <c r="W8" s="39"/>
      <c r="X8" s="39"/>
      <c r="Y8" s="40"/>
      <c r="Z8" s="35" t="s">
        <v>203</v>
      </c>
      <c r="AA8" s="40" t="s">
        <v>1169</v>
      </c>
      <c r="AB8" s="40" t="s">
        <v>788</v>
      </c>
      <c r="AC8" s="39" t="s">
        <v>110</v>
      </c>
      <c r="AD8" s="39" t="s">
        <v>1170</v>
      </c>
      <c r="AE8" s="39" t="s">
        <v>203</v>
      </c>
      <c r="AF8" s="39" t="s">
        <v>206</v>
      </c>
      <c r="AG8" s="39" t="s">
        <v>203</v>
      </c>
      <c r="AH8" s="39" t="s">
        <v>242</v>
      </c>
      <c r="AI8" s="39" t="s">
        <v>207</v>
      </c>
      <c r="AJ8" s="39" t="s">
        <v>194</v>
      </c>
      <c r="AK8" s="39" t="s">
        <v>194</v>
      </c>
      <c r="AL8" s="39"/>
      <c r="AM8" s="39"/>
      <c r="AN8" s="35" t="s">
        <v>208</v>
      </c>
      <c r="AO8" s="35" t="s">
        <v>208</v>
      </c>
      <c r="AP8" s="39"/>
      <c r="AQ8" s="39"/>
      <c r="AR8" s="40" t="s">
        <v>214</v>
      </c>
      <c r="AS8" s="40" t="s">
        <v>194</v>
      </c>
      <c r="AT8" s="40" t="s">
        <v>221</v>
      </c>
      <c r="AU8" s="41" t="s">
        <v>75</v>
      </c>
      <c r="AV8" s="33" t="s">
        <v>81</v>
      </c>
      <c r="AW8" s="36" t="s">
        <v>95</v>
      </c>
      <c r="AX8" s="42" t="s">
        <v>86</v>
      </c>
      <c r="AY8" s="40" t="s">
        <v>1171</v>
      </c>
    </row>
    <row r="9" customFormat="false" ht="30" hidden="false" customHeight="true" outlineLevel="0" collapsed="false">
      <c r="A9" s="33" t="n">
        <v>7</v>
      </c>
      <c r="B9" s="34" t="s">
        <v>1120</v>
      </c>
      <c r="C9" s="34" t="s">
        <v>178</v>
      </c>
      <c r="D9" s="34" t="s">
        <v>178</v>
      </c>
      <c r="E9" s="34" t="s">
        <v>1122</v>
      </c>
      <c r="F9" s="33" t="s">
        <v>1123</v>
      </c>
      <c r="G9" s="34" t="s">
        <v>194</v>
      </c>
      <c r="H9" s="34" t="s">
        <v>213</v>
      </c>
      <c r="I9" s="34" t="s">
        <v>194</v>
      </c>
      <c r="J9" s="33" t="s">
        <v>194</v>
      </c>
      <c r="K9" s="34" t="s">
        <v>194</v>
      </c>
      <c r="L9" s="34" t="s">
        <v>194</v>
      </c>
      <c r="M9" s="34" t="s">
        <v>194</v>
      </c>
      <c r="N9" s="33" t="s">
        <v>214</v>
      </c>
      <c r="O9" s="34" t="s">
        <v>1172</v>
      </c>
      <c r="P9" s="33" t="s">
        <v>194</v>
      </c>
      <c r="Q9" s="34" t="s">
        <v>1173</v>
      </c>
      <c r="R9" s="34" t="s">
        <v>1174</v>
      </c>
      <c r="S9" s="34" t="s">
        <v>179</v>
      </c>
      <c r="T9" s="33" t="s">
        <v>279</v>
      </c>
      <c r="U9" s="33" t="s">
        <v>322</v>
      </c>
      <c r="V9" s="33"/>
      <c r="W9" s="33"/>
      <c r="X9" s="33"/>
      <c r="Y9" s="34"/>
      <c r="Z9" s="35" t="s">
        <v>203</v>
      </c>
      <c r="AA9" s="34" t="s">
        <v>1175</v>
      </c>
      <c r="AB9" s="34" t="s">
        <v>179</v>
      </c>
      <c r="AC9" s="33" t="s">
        <v>110</v>
      </c>
      <c r="AD9" s="33" t="s">
        <v>1170</v>
      </c>
      <c r="AE9" s="33" t="s">
        <v>203</v>
      </c>
      <c r="AF9" s="33" t="s">
        <v>206</v>
      </c>
      <c r="AG9" s="33" t="s">
        <v>203</v>
      </c>
      <c r="AH9" s="33" t="s">
        <v>242</v>
      </c>
      <c r="AI9" s="33" t="s">
        <v>207</v>
      </c>
      <c r="AJ9" s="33" t="s">
        <v>194</v>
      </c>
      <c r="AK9" s="33" t="s">
        <v>194</v>
      </c>
      <c r="AL9" s="33"/>
      <c r="AM9" s="33"/>
      <c r="AN9" s="33"/>
      <c r="AO9" s="35" t="s">
        <v>208</v>
      </c>
      <c r="AP9" s="33"/>
      <c r="AQ9" s="33"/>
      <c r="AR9" s="34" t="s">
        <v>214</v>
      </c>
      <c r="AS9" s="34" t="s">
        <v>194</v>
      </c>
      <c r="AT9" s="34" t="s">
        <v>221</v>
      </c>
      <c r="AU9" s="41" t="s">
        <v>75</v>
      </c>
      <c r="AV9" s="33" t="s">
        <v>81</v>
      </c>
      <c r="AW9" s="36" t="s">
        <v>95</v>
      </c>
      <c r="AX9" s="42" t="s">
        <v>86</v>
      </c>
      <c r="AY9" s="34" t="s">
        <v>1176</v>
      </c>
    </row>
    <row r="10" customFormat="false" ht="30" hidden="false" customHeight="true" outlineLevel="0" collapsed="false">
      <c r="A10" s="39" t="n">
        <v>8</v>
      </c>
      <c r="B10" s="40" t="s">
        <v>1120</v>
      </c>
      <c r="C10" s="40" t="s">
        <v>178</v>
      </c>
      <c r="D10" s="40" t="s">
        <v>178</v>
      </c>
      <c r="E10" s="40" t="s">
        <v>1122</v>
      </c>
      <c r="F10" s="39" t="s">
        <v>1123</v>
      </c>
      <c r="G10" s="40" t="s">
        <v>194</v>
      </c>
      <c r="H10" s="40" t="s">
        <v>213</v>
      </c>
      <c r="I10" s="40" t="s">
        <v>194</v>
      </c>
      <c r="J10" s="39" t="s">
        <v>194</v>
      </c>
      <c r="K10" s="40" t="s">
        <v>194</v>
      </c>
      <c r="L10" s="40" t="s">
        <v>194</v>
      </c>
      <c r="M10" s="40" t="s">
        <v>194</v>
      </c>
      <c r="N10" s="39" t="s">
        <v>214</v>
      </c>
      <c r="O10" s="40" t="s">
        <v>1177</v>
      </c>
      <c r="P10" s="39" t="s">
        <v>194</v>
      </c>
      <c r="Q10" s="40" t="s">
        <v>1178</v>
      </c>
      <c r="R10" s="40" t="s">
        <v>1179</v>
      </c>
      <c r="S10" s="40" t="s">
        <v>178</v>
      </c>
      <c r="T10" s="39" t="s">
        <v>279</v>
      </c>
      <c r="U10" s="39" t="s">
        <v>1180</v>
      </c>
      <c r="V10" s="39"/>
      <c r="W10" s="39"/>
      <c r="X10" s="39"/>
      <c r="Y10" s="40"/>
      <c r="Z10" s="35" t="s">
        <v>203</v>
      </c>
      <c r="AA10" s="40" t="s">
        <v>1181</v>
      </c>
      <c r="AB10" s="40" t="s">
        <v>348</v>
      </c>
      <c r="AC10" s="39" t="s">
        <v>110</v>
      </c>
      <c r="AD10" s="39" t="s">
        <v>871</v>
      </c>
      <c r="AE10" s="39" t="s">
        <v>203</v>
      </c>
      <c r="AF10" s="39" t="s">
        <v>206</v>
      </c>
      <c r="AG10" s="39" t="s">
        <v>203</v>
      </c>
      <c r="AH10" s="39" t="s">
        <v>242</v>
      </c>
      <c r="AI10" s="39" t="s">
        <v>207</v>
      </c>
      <c r="AJ10" s="39" t="s">
        <v>194</v>
      </c>
      <c r="AK10" s="39" t="s">
        <v>194</v>
      </c>
      <c r="AL10" s="39"/>
      <c r="AM10" s="39"/>
      <c r="AN10" s="35" t="s">
        <v>208</v>
      </c>
      <c r="AO10" s="39"/>
      <c r="AP10" s="39"/>
      <c r="AQ10" s="39"/>
      <c r="AR10" s="40" t="s">
        <v>214</v>
      </c>
      <c r="AS10" s="40" t="s">
        <v>194</v>
      </c>
      <c r="AT10" s="40" t="s">
        <v>221</v>
      </c>
      <c r="AU10" s="41" t="s">
        <v>75</v>
      </c>
      <c r="AV10" s="33" t="s">
        <v>81</v>
      </c>
      <c r="AW10" s="43" t="s">
        <v>97</v>
      </c>
      <c r="AX10" s="44" t="s">
        <v>88</v>
      </c>
      <c r="AY10" s="40" t="s">
        <v>1182</v>
      </c>
    </row>
    <row r="11" customFormat="false" ht="30" hidden="false" customHeight="true" outlineLevel="0" collapsed="false">
      <c r="A11" s="33" t="n">
        <v>9</v>
      </c>
      <c r="B11" s="34" t="s">
        <v>1120</v>
      </c>
      <c r="C11" s="34" t="s">
        <v>1183</v>
      </c>
      <c r="D11" s="34" t="s">
        <v>1183</v>
      </c>
      <c r="E11" s="34" t="s">
        <v>1122</v>
      </c>
      <c r="F11" s="33" t="s">
        <v>1123</v>
      </c>
      <c r="G11" s="34" t="s">
        <v>194</v>
      </c>
      <c r="H11" s="34" t="s">
        <v>213</v>
      </c>
      <c r="I11" s="34" t="s">
        <v>194</v>
      </c>
      <c r="J11" s="33" t="s">
        <v>194</v>
      </c>
      <c r="K11" s="34" t="s">
        <v>194</v>
      </c>
      <c r="L11" s="34" t="s">
        <v>194</v>
      </c>
      <c r="M11" s="34" t="s">
        <v>194</v>
      </c>
      <c r="N11" s="33" t="s">
        <v>214</v>
      </c>
      <c r="O11" s="34" t="s">
        <v>1184</v>
      </c>
      <c r="P11" s="33" t="s">
        <v>194</v>
      </c>
      <c r="Q11" s="34" t="s">
        <v>1185</v>
      </c>
      <c r="R11" s="34" t="s">
        <v>1186</v>
      </c>
      <c r="S11" s="34" t="s">
        <v>295</v>
      </c>
      <c r="T11" s="33" t="s">
        <v>279</v>
      </c>
      <c r="U11" s="33" t="s">
        <v>322</v>
      </c>
      <c r="V11" s="33"/>
      <c r="W11" s="33"/>
      <c r="X11" s="33"/>
      <c r="Y11" s="34" t="s">
        <v>1187</v>
      </c>
      <c r="Z11" s="35" t="s">
        <v>203</v>
      </c>
      <c r="AA11" s="34" t="s">
        <v>1188</v>
      </c>
      <c r="AB11" s="34" t="s">
        <v>300</v>
      </c>
      <c r="AC11" s="33" t="s">
        <v>110</v>
      </c>
      <c r="AD11" s="33" t="s">
        <v>871</v>
      </c>
      <c r="AE11" s="33" t="s">
        <v>203</v>
      </c>
      <c r="AF11" s="33" t="s">
        <v>206</v>
      </c>
      <c r="AG11" s="33" t="s">
        <v>203</v>
      </c>
      <c r="AH11" s="33" t="s">
        <v>242</v>
      </c>
      <c r="AI11" s="33" t="s">
        <v>207</v>
      </c>
      <c r="AJ11" s="33" t="s">
        <v>194</v>
      </c>
      <c r="AK11" s="33" t="s">
        <v>194</v>
      </c>
      <c r="AL11" s="33"/>
      <c r="AM11" s="33"/>
      <c r="AN11" s="33"/>
      <c r="AO11" s="35" t="s">
        <v>208</v>
      </c>
      <c r="AP11" s="33"/>
      <c r="AQ11" s="33"/>
      <c r="AR11" s="34" t="s">
        <v>214</v>
      </c>
      <c r="AS11" s="34" t="s">
        <v>194</v>
      </c>
      <c r="AT11" s="34" t="s">
        <v>221</v>
      </c>
      <c r="AU11" s="41" t="s">
        <v>75</v>
      </c>
      <c r="AV11" s="33" t="s">
        <v>81</v>
      </c>
      <c r="AW11" s="43" t="s">
        <v>97</v>
      </c>
      <c r="AX11" s="44" t="s">
        <v>88</v>
      </c>
      <c r="AY11" s="34" t="s">
        <v>1189</v>
      </c>
    </row>
    <row r="12" customFormat="false" ht="30" hidden="false" customHeight="true" outlineLevel="0" collapsed="false">
      <c r="A12" s="39" t="n">
        <v>10</v>
      </c>
      <c r="B12" s="40" t="s">
        <v>1120</v>
      </c>
      <c r="C12" s="40" t="s">
        <v>1190</v>
      </c>
      <c r="D12" s="40" t="s">
        <v>1190</v>
      </c>
      <c r="E12" s="40" t="s">
        <v>1122</v>
      </c>
      <c r="F12" s="39" t="s">
        <v>1123</v>
      </c>
      <c r="G12" s="40" t="s">
        <v>194</v>
      </c>
      <c r="H12" s="40" t="s">
        <v>213</v>
      </c>
      <c r="I12" s="40" t="s">
        <v>194</v>
      </c>
      <c r="J12" s="39" t="s">
        <v>194</v>
      </c>
      <c r="K12" s="40" t="s">
        <v>194</v>
      </c>
      <c r="L12" s="40" t="s">
        <v>194</v>
      </c>
      <c r="M12" s="40" t="s">
        <v>194</v>
      </c>
      <c r="N12" s="39" t="s">
        <v>214</v>
      </c>
      <c r="O12" s="40" t="s">
        <v>1191</v>
      </c>
      <c r="P12" s="39" t="s">
        <v>194</v>
      </c>
      <c r="Q12" s="40" t="s">
        <v>1192</v>
      </c>
      <c r="R12" s="40" t="s">
        <v>1193</v>
      </c>
      <c r="S12" s="40" t="s">
        <v>180</v>
      </c>
      <c r="T12" s="39" t="s">
        <v>201</v>
      </c>
      <c r="U12" s="39" t="s">
        <v>194</v>
      </c>
      <c r="V12" s="39"/>
      <c r="W12" s="39"/>
      <c r="X12" s="39"/>
      <c r="Y12" s="40"/>
      <c r="Z12" s="35" t="s">
        <v>203</v>
      </c>
      <c r="AA12" s="40" t="s">
        <v>1194</v>
      </c>
      <c r="AB12" s="40" t="s">
        <v>180</v>
      </c>
      <c r="AC12" s="39" t="s">
        <v>108</v>
      </c>
      <c r="AD12" s="39" t="s">
        <v>1195</v>
      </c>
      <c r="AE12" s="39" t="s">
        <v>203</v>
      </c>
      <c r="AF12" s="39" t="s">
        <v>206</v>
      </c>
      <c r="AG12" s="39" t="s">
        <v>203</v>
      </c>
      <c r="AH12" s="39" t="s">
        <v>242</v>
      </c>
      <c r="AI12" s="39" t="s">
        <v>207</v>
      </c>
      <c r="AJ12" s="39" t="s">
        <v>194</v>
      </c>
      <c r="AK12" s="39" t="s">
        <v>194</v>
      </c>
      <c r="AL12" s="39"/>
      <c r="AM12" s="39"/>
      <c r="AN12" s="39"/>
      <c r="AO12" s="39"/>
      <c r="AP12" s="35" t="s">
        <v>208</v>
      </c>
      <c r="AQ12" s="39"/>
      <c r="AR12" s="40" t="s">
        <v>214</v>
      </c>
      <c r="AS12" s="40" t="s">
        <v>194</v>
      </c>
      <c r="AT12" s="40" t="s">
        <v>221</v>
      </c>
      <c r="AU12" s="41" t="s">
        <v>75</v>
      </c>
      <c r="AV12" s="33" t="s">
        <v>81</v>
      </c>
      <c r="AW12" s="43" t="s">
        <v>97</v>
      </c>
      <c r="AX12" s="44" t="s">
        <v>88</v>
      </c>
      <c r="AY12" s="40" t="s">
        <v>1196</v>
      </c>
    </row>
    <row r="13" customFormat="false" ht="30" hidden="false" customHeight="true" outlineLevel="0" collapsed="false">
      <c r="A13" s="33" t="n">
        <v>11</v>
      </c>
      <c r="B13" s="34" t="s">
        <v>1120</v>
      </c>
      <c r="C13" s="34" t="s">
        <v>342</v>
      </c>
      <c r="D13" s="34" t="s">
        <v>342</v>
      </c>
      <c r="E13" s="34" t="s">
        <v>1122</v>
      </c>
      <c r="F13" s="33" t="s">
        <v>1123</v>
      </c>
      <c r="G13" s="34" t="s">
        <v>194</v>
      </c>
      <c r="H13" s="34" t="s">
        <v>195</v>
      </c>
      <c r="I13" s="34" t="s">
        <v>194</v>
      </c>
      <c r="J13" s="33" t="s">
        <v>194</v>
      </c>
      <c r="K13" s="34" t="s">
        <v>194</v>
      </c>
      <c r="L13" s="34" t="s">
        <v>137</v>
      </c>
      <c r="M13" s="34" t="s">
        <v>194</v>
      </c>
      <c r="N13" s="33" t="s">
        <v>196</v>
      </c>
      <c r="O13" s="34" t="s">
        <v>1197</v>
      </c>
      <c r="P13" s="33" t="s">
        <v>194</v>
      </c>
      <c r="Q13" s="34" t="s">
        <v>1198</v>
      </c>
      <c r="R13" s="34" t="s">
        <v>1199</v>
      </c>
      <c r="S13" s="34" t="s">
        <v>178</v>
      </c>
      <c r="T13" s="33" t="s">
        <v>279</v>
      </c>
      <c r="U13" s="33" t="s">
        <v>322</v>
      </c>
      <c r="V13" s="33"/>
      <c r="W13" s="33"/>
      <c r="X13" s="33"/>
      <c r="Y13" s="34" t="s">
        <v>1200</v>
      </c>
      <c r="Z13" s="35" t="s">
        <v>203</v>
      </c>
      <c r="AA13" s="34" t="s">
        <v>1201</v>
      </c>
      <c r="AB13" s="34" t="s">
        <v>348</v>
      </c>
      <c r="AC13" s="33" t="s">
        <v>108</v>
      </c>
      <c r="AD13" s="33" t="s">
        <v>205</v>
      </c>
      <c r="AE13" s="33" t="s">
        <v>203</v>
      </c>
      <c r="AF13" s="33" t="s">
        <v>206</v>
      </c>
      <c r="AG13" s="33" t="s">
        <v>203</v>
      </c>
      <c r="AH13" s="33" t="s">
        <v>203</v>
      </c>
      <c r="AI13" s="33" t="s">
        <v>207</v>
      </c>
      <c r="AJ13" s="33" t="s">
        <v>194</v>
      </c>
      <c r="AK13" s="33" t="s">
        <v>194</v>
      </c>
      <c r="AL13" s="33"/>
      <c r="AM13" s="33"/>
      <c r="AN13" s="35" t="s">
        <v>208</v>
      </c>
      <c r="AO13" s="33"/>
      <c r="AP13" s="33"/>
      <c r="AQ13" s="33"/>
      <c r="AR13" s="34" t="s">
        <v>196</v>
      </c>
      <c r="AS13" s="34" t="s">
        <v>209</v>
      </c>
      <c r="AT13" s="34" t="s">
        <v>210</v>
      </c>
      <c r="AU13" s="36" t="s">
        <v>73</v>
      </c>
      <c r="AV13" s="33" t="s">
        <v>81</v>
      </c>
      <c r="AW13" s="36" t="s">
        <v>95</v>
      </c>
      <c r="AX13" s="42" t="s">
        <v>86</v>
      </c>
      <c r="AY13" s="34" t="s">
        <v>1202</v>
      </c>
    </row>
  </sheetData>
  <mergeCells count="1">
    <mergeCell ref="A1:A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8" min="18" style="0" width="34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1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22"/>
    <col collapsed="false" customWidth="true" hidden="false" outlineLevel="0" max="26" min="26" style="0" width="9"/>
    <col collapsed="false" customWidth="true" hidden="false" outlineLevel="0" max="27" min="27" style="0" width="30"/>
    <col collapsed="false" customWidth="true" hidden="false" outlineLevel="0" max="28" min="28" style="0" width="20"/>
    <col collapsed="false" customWidth="true" hidden="false" outlineLevel="0" max="29" min="29" style="0" width="13"/>
    <col collapsed="false" customWidth="true" hidden="false" outlineLevel="0" max="30" min="30" style="0" width="14"/>
    <col collapsed="false" customWidth="true" hidden="false" outlineLevel="0" max="31" min="31" style="0" width="9"/>
    <col collapsed="false" customWidth="true" hidden="false" outlineLevel="0" max="32" min="32" style="0" width="18"/>
    <col collapsed="false" customWidth="true" hidden="false" outlineLevel="0" max="33" min="33" style="0" width="9"/>
    <col collapsed="false" customWidth="true" hidden="false" outlineLevel="0" max="35" min="34" style="0" width="8"/>
    <col collapsed="false" customWidth="true" hidden="false" outlineLevel="0" max="37" min="36" style="0" width="11"/>
    <col collapsed="false" customWidth="true" hidden="false" outlineLevel="0" max="38" min="38" style="0" width="8"/>
    <col collapsed="false" customWidth="true" hidden="false" outlineLevel="0" max="39" min="39" style="0" width="6"/>
    <col collapsed="false" customWidth="true" hidden="false" outlineLevel="0" max="40" min="40" style="0" width="9"/>
    <col collapsed="false" customWidth="true" hidden="false" outlineLevel="0" max="41" min="41" style="0" width="8"/>
    <col collapsed="false" customWidth="true" hidden="false" outlineLevel="0" max="42" min="42" style="0" width="10"/>
    <col collapsed="false" customWidth="true" hidden="false" outlineLevel="0" max="43" min="43" style="0" width="7"/>
    <col collapsed="false" customWidth="true" hidden="false" outlineLevel="0" max="45" min="44" style="0" width="18"/>
    <col collapsed="false" customWidth="true" hidden="false" outlineLevel="0" max="47" min="46" style="0" width="22"/>
    <col collapsed="false" customWidth="true" hidden="false" outlineLevel="0" max="48" min="48" style="0" width="13"/>
    <col collapsed="false" customWidth="true" hidden="false" outlineLevel="0" max="49" min="49" style="0" width="11"/>
    <col collapsed="false" customWidth="true" hidden="false" outlineLevel="0" max="50" min="50" style="0" width="9"/>
    <col collapsed="false" customWidth="true" hidden="false" outlineLevel="0" max="51" min="51" style="0" width="40"/>
  </cols>
  <sheetData>
    <row r="1" customFormat="false" ht="21.75" hidden="false" customHeight="true" outlineLevel="0" collapsed="false">
      <c r="A1" s="31" t="s">
        <v>1203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</row>
    <row r="2" customFormat="false" ht="19.4" hidden="false" customHeight="false" outlineLevel="0" collapsed="false">
      <c r="A2" s="32" t="s">
        <v>140</v>
      </c>
      <c r="B2" s="32" t="s">
        <v>141</v>
      </c>
      <c r="C2" s="32" t="s">
        <v>142</v>
      </c>
      <c r="D2" s="32" t="s">
        <v>143</v>
      </c>
      <c r="E2" s="32" t="s">
        <v>144</v>
      </c>
      <c r="F2" s="32" t="s">
        <v>145</v>
      </c>
      <c r="G2" s="32" t="s">
        <v>146</v>
      </c>
      <c r="H2" s="32" t="s">
        <v>147</v>
      </c>
      <c r="I2" s="32" t="s">
        <v>148</v>
      </c>
      <c r="J2" s="32" t="s">
        <v>149</v>
      </c>
      <c r="K2" s="32" t="s">
        <v>150</v>
      </c>
      <c r="L2" s="32" t="s">
        <v>151</v>
      </c>
      <c r="M2" s="32" t="s">
        <v>152</v>
      </c>
      <c r="N2" s="32" t="s">
        <v>153</v>
      </c>
      <c r="O2" s="32" t="s">
        <v>154</v>
      </c>
      <c r="P2" s="32" t="s">
        <v>155</v>
      </c>
      <c r="Q2" s="32" t="s">
        <v>156</v>
      </c>
      <c r="R2" s="32" t="s">
        <v>157</v>
      </c>
      <c r="S2" s="32" t="s">
        <v>117</v>
      </c>
      <c r="T2" s="32" t="s">
        <v>158</v>
      </c>
      <c r="U2" s="32" t="s">
        <v>159</v>
      </c>
      <c r="V2" s="32" t="s">
        <v>160</v>
      </c>
      <c r="W2" s="32" t="s">
        <v>161</v>
      </c>
      <c r="X2" s="32" t="s">
        <v>162</v>
      </c>
      <c r="Y2" s="32" t="s">
        <v>163</v>
      </c>
      <c r="Z2" s="32" t="s">
        <v>164</v>
      </c>
      <c r="AA2" s="32" t="s">
        <v>165</v>
      </c>
      <c r="AB2" s="32" t="s">
        <v>166</v>
      </c>
      <c r="AC2" s="32" t="s">
        <v>167</v>
      </c>
      <c r="AD2" s="32" t="s">
        <v>168</v>
      </c>
      <c r="AE2" s="32" t="s">
        <v>169</v>
      </c>
      <c r="AF2" s="32" t="s">
        <v>170</v>
      </c>
      <c r="AG2" s="32" t="s">
        <v>171</v>
      </c>
      <c r="AH2" s="32" t="s">
        <v>172</v>
      </c>
      <c r="AI2" s="32" t="s">
        <v>173</v>
      </c>
      <c r="AJ2" s="32" t="s">
        <v>174</v>
      </c>
      <c r="AK2" s="32" t="s">
        <v>175</v>
      </c>
      <c r="AL2" s="32" t="s">
        <v>176</v>
      </c>
      <c r="AM2" s="32" t="s">
        <v>177</v>
      </c>
      <c r="AN2" s="32" t="s">
        <v>178</v>
      </c>
      <c r="AO2" s="32" t="s">
        <v>179</v>
      </c>
      <c r="AP2" s="32" t="s">
        <v>180</v>
      </c>
      <c r="AQ2" s="32" t="s">
        <v>181</v>
      </c>
      <c r="AR2" s="32" t="s">
        <v>182</v>
      </c>
      <c r="AS2" s="32" t="s">
        <v>183</v>
      </c>
      <c r="AT2" s="32" t="s">
        <v>184</v>
      </c>
      <c r="AU2" s="32" t="s">
        <v>185</v>
      </c>
      <c r="AV2" s="32" t="s">
        <v>186</v>
      </c>
      <c r="AW2" s="32" t="s">
        <v>187</v>
      </c>
      <c r="AX2" s="32" t="s">
        <v>188</v>
      </c>
      <c r="AY2" s="32" t="s">
        <v>189</v>
      </c>
    </row>
    <row r="3" customFormat="false" ht="30" hidden="false" customHeight="true" outlineLevel="0" collapsed="false">
      <c r="A3" s="33" t="n">
        <v>1</v>
      </c>
      <c r="B3" s="34" t="s">
        <v>1204</v>
      </c>
      <c r="C3" s="34" t="s">
        <v>1205</v>
      </c>
      <c r="D3" s="34" t="s">
        <v>1205</v>
      </c>
      <c r="E3" s="34" t="s">
        <v>1206</v>
      </c>
      <c r="F3" s="33" t="s">
        <v>1207</v>
      </c>
      <c r="G3" s="34" t="s">
        <v>194</v>
      </c>
      <c r="H3" s="34" t="s">
        <v>213</v>
      </c>
      <c r="I3" s="34" t="s">
        <v>194</v>
      </c>
      <c r="J3" s="33" t="s">
        <v>194</v>
      </c>
      <c r="K3" s="34" t="s">
        <v>194</v>
      </c>
      <c r="L3" s="34" t="s">
        <v>194</v>
      </c>
      <c r="M3" s="34" t="s">
        <v>194</v>
      </c>
      <c r="N3" s="33" t="s">
        <v>214</v>
      </c>
      <c r="O3" s="34" t="s">
        <v>1208</v>
      </c>
      <c r="P3" s="33" t="s">
        <v>194</v>
      </c>
      <c r="Q3" s="34" t="s">
        <v>1209</v>
      </c>
      <c r="R3" s="34" t="s">
        <v>1210</v>
      </c>
      <c r="S3" s="34" t="s">
        <v>178</v>
      </c>
      <c r="T3" s="33" t="s">
        <v>339</v>
      </c>
      <c r="U3" s="33" t="s">
        <v>974</v>
      </c>
      <c r="V3" s="33"/>
      <c r="W3" s="33"/>
      <c r="X3" s="33"/>
      <c r="Y3" s="34"/>
      <c r="Z3" s="35" t="s">
        <v>203</v>
      </c>
      <c r="AA3" s="34" t="s">
        <v>1211</v>
      </c>
      <c r="AB3" s="34" t="s">
        <v>348</v>
      </c>
      <c r="AC3" s="33" t="s">
        <v>110</v>
      </c>
      <c r="AD3" s="33" t="s">
        <v>871</v>
      </c>
      <c r="AE3" s="33" t="s">
        <v>203</v>
      </c>
      <c r="AF3" s="33" t="s">
        <v>206</v>
      </c>
      <c r="AG3" s="33" t="s">
        <v>203</v>
      </c>
      <c r="AH3" s="33" t="s">
        <v>242</v>
      </c>
      <c r="AI3" s="33" t="s">
        <v>207</v>
      </c>
      <c r="AJ3" s="33" t="s">
        <v>194</v>
      </c>
      <c r="AK3" s="33" t="s">
        <v>194</v>
      </c>
      <c r="AL3" s="33"/>
      <c r="AM3" s="33"/>
      <c r="AN3" s="35" t="s">
        <v>208</v>
      </c>
      <c r="AO3" s="33"/>
      <c r="AP3" s="33"/>
      <c r="AQ3" s="33"/>
      <c r="AR3" s="34" t="s">
        <v>214</v>
      </c>
      <c r="AS3" s="34" t="s">
        <v>194</v>
      </c>
      <c r="AT3" s="34" t="s">
        <v>221</v>
      </c>
      <c r="AU3" s="41" t="s">
        <v>75</v>
      </c>
      <c r="AV3" s="33" t="s">
        <v>81</v>
      </c>
      <c r="AW3" s="43" t="s">
        <v>97</v>
      </c>
      <c r="AX3" s="44" t="s">
        <v>88</v>
      </c>
      <c r="AY3" s="34" t="s">
        <v>1212</v>
      </c>
    </row>
    <row r="4" customFormat="false" ht="30" hidden="false" customHeight="true" outlineLevel="0" collapsed="false">
      <c r="A4" s="39" t="n">
        <v>2</v>
      </c>
      <c r="B4" s="40" t="s">
        <v>1204</v>
      </c>
      <c r="C4" s="40" t="s">
        <v>1213</v>
      </c>
      <c r="D4" s="40" t="s">
        <v>1213</v>
      </c>
      <c r="E4" s="40" t="s">
        <v>1206</v>
      </c>
      <c r="F4" s="39" t="s">
        <v>1207</v>
      </c>
      <c r="G4" s="40" t="s">
        <v>194</v>
      </c>
      <c r="H4" s="40" t="s">
        <v>213</v>
      </c>
      <c r="I4" s="40" t="s">
        <v>194</v>
      </c>
      <c r="J4" s="39" t="s">
        <v>194</v>
      </c>
      <c r="K4" s="40" t="s">
        <v>194</v>
      </c>
      <c r="L4" s="40" t="s">
        <v>194</v>
      </c>
      <c r="M4" s="40" t="s">
        <v>194</v>
      </c>
      <c r="N4" s="39" t="s">
        <v>214</v>
      </c>
      <c r="O4" s="40" t="s">
        <v>1214</v>
      </c>
      <c r="P4" s="39" t="s">
        <v>194</v>
      </c>
      <c r="Q4" s="40" t="s">
        <v>1215</v>
      </c>
      <c r="R4" s="40" t="s">
        <v>1216</v>
      </c>
      <c r="S4" s="40" t="s">
        <v>1217</v>
      </c>
      <c r="T4" s="39" t="s">
        <v>201</v>
      </c>
      <c r="U4" s="39" t="s">
        <v>194</v>
      </c>
      <c r="V4" s="39"/>
      <c r="W4" s="39"/>
      <c r="X4" s="39"/>
      <c r="Y4" s="40"/>
      <c r="Z4" s="35" t="s">
        <v>203</v>
      </c>
      <c r="AA4" s="40" t="s">
        <v>1218</v>
      </c>
      <c r="AB4" s="40" t="s">
        <v>179</v>
      </c>
      <c r="AC4" s="39" t="s">
        <v>110</v>
      </c>
      <c r="AD4" s="39" t="s">
        <v>1219</v>
      </c>
      <c r="AE4" s="39" t="s">
        <v>203</v>
      </c>
      <c r="AF4" s="39" t="s">
        <v>206</v>
      </c>
      <c r="AG4" s="39" t="s">
        <v>203</v>
      </c>
      <c r="AH4" s="39" t="s">
        <v>242</v>
      </c>
      <c r="AI4" s="39" t="s">
        <v>207</v>
      </c>
      <c r="AJ4" s="39" t="s">
        <v>194</v>
      </c>
      <c r="AK4" s="39" t="s">
        <v>194</v>
      </c>
      <c r="AL4" s="39"/>
      <c r="AM4" s="39"/>
      <c r="AN4" s="35" t="s">
        <v>208</v>
      </c>
      <c r="AO4" s="35" t="s">
        <v>208</v>
      </c>
      <c r="AP4" s="39"/>
      <c r="AQ4" s="39"/>
      <c r="AR4" s="40" t="s">
        <v>214</v>
      </c>
      <c r="AS4" s="40" t="s">
        <v>194</v>
      </c>
      <c r="AT4" s="40" t="s">
        <v>221</v>
      </c>
      <c r="AU4" s="41" t="s">
        <v>75</v>
      </c>
      <c r="AV4" s="33" t="s">
        <v>81</v>
      </c>
      <c r="AW4" s="43" t="s">
        <v>97</v>
      </c>
      <c r="AX4" s="44" t="s">
        <v>88</v>
      </c>
      <c r="AY4" s="40" t="s">
        <v>1220</v>
      </c>
    </row>
    <row r="5" customFormat="false" ht="30" hidden="false" customHeight="true" outlineLevel="0" collapsed="false">
      <c r="A5" s="33" t="n">
        <v>3</v>
      </c>
      <c r="B5" s="34" t="s">
        <v>1204</v>
      </c>
      <c r="C5" s="34" t="s">
        <v>855</v>
      </c>
      <c r="D5" s="34" t="s">
        <v>855</v>
      </c>
      <c r="E5" s="34" t="s">
        <v>1206</v>
      </c>
      <c r="F5" s="33" t="s">
        <v>1207</v>
      </c>
      <c r="G5" s="34" t="s">
        <v>194</v>
      </c>
      <c r="H5" s="34" t="s">
        <v>213</v>
      </c>
      <c r="I5" s="34" t="s">
        <v>194</v>
      </c>
      <c r="J5" s="33" t="s">
        <v>194</v>
      </c>
      <c r="K5" s="34" t="s">
        <v>194</v>
      </c>
      <c r="L5" s="34" t="s">
        <v>194</v>
      </c>
      <c r="M5" s="34" t="s">
        <v>194</v>
      </c>
      <c r="N5" s="33" t="s">
        <v>214</v>
      </c>
      <c r="O5" s="34" t="s">
        <v>1221</v>
      </c>
      <c r="P5" s="33" t="s">
        <v>194</v>
      </c>
      <c r="Q5" s="34" t="s">
        <v>1222</v>
      </c>
      <c r="R5" s="34" t="s">
        <v>1223</v>
      </c>
      <c r="S5" s="34" t="s">
        <v>179</v>
      </c>
      <c r="T5" s="33" t="s">
        <v>279</v>
      </c>
      <c r="U5" s="33" t="s">
        <v>322</v>
      </c>
      <c r="V5" s="33"/>
      <c r="W5" s="33"/>
      <c r="X5" s="33"/>
      <c r="Y5" s="34"/>
      <c r="Z5" s="35" t="s">
        <v>203</v>
      </c>
      <c r="AA5" s="34" t="s">
        <v>1224</v>
      </c>
      <c r="AB5" s="34" t="s">
        <v>179</v>
      </c>
      <c r="AC5" s="33" t="s">
        <v>110</v>
      </c>
      <c r="AD5" s="33" t="s">
        <v>1225</v>
      </c>
      <c r="AE5" s="33" t="s">
        <v>203</v>
      </c>
      <c r="AF5" s="33" t="s">
        <v>206</v>
      </c>
      <c r="AG5" s="33" t="s">
        <v>203</v>
      </c>
      <c r="AH5" s="33" t="s">
        <v>242</v>
      </c>
      <c r="AI5" s="33" t="s">
        <v>207</v>
      </c>
      <c r="AJ5" s="33" t="s">
        <v>194</v>
      </c>
      <c r="AK5" s="33" t="s">
        <v>194</v>
      </c>
      <c r="AL5" s="33"/>
      <c r="AM5" s="33"/>
      <c r="AN5" s="33"/>
      <c r="AO5" s="35" t="s">
        <v>208</v>
      </c>
      <c r="AP5" s="33"/>
      <c r="AQ5" s="33"/>
      <c r="AR5" s="34" t="s">
        <v>214</v>
      </c>
      <c r="AS5" s="34" t="s">
        <v>194</v>
      </c>
      <c r="AT5" s="34" t="s">
        <v>221</v>
      </c>
      <c r="AU5" s="41" t="s">
        <v>75</v>
      </c>
      <c r="AV5" s="33" t="s">
        <v>81</v>
      </c>
      <c r="AW5" s="36" t="s">
        <v>95</v>
      </c>
      <c r="AX5" s="42" t="s">
        <v>86</v>
      </c>
      <c r="AY5" s="34"/>
    </row>
    <row r="6" customFormat="false" ht="30" hidden="false" customHeight="true" outlineLevel="0" collapsed="false">
      <c r="A6" s="39" t="n">
        <v>4</v>
      </c>
      <c r="B6" s="40" t="s">
        <v>1204</v>
      </c>
      <c r="C6" s="40" t="s">
        <v>1226</v>
      </c>
      <c r="D6" s="40" t="s">
        <v>1226</v>
      </c>
      <c r="E6" s="40" t="s">
        <v>1206</v>
      </c>
      <c r="F6" s="39" t="s">
        <v>1207</v>
      </c>
      <c r="G6" s="40" t="s">
        <v>194</v>
      </c>
      <c r="H6" s="40" t="s">
        <v>213</v>
      </c>
      <c r="I6" s="40" t="s">
        <v>194</v>
      </c>
      <c r="J6" s="39" t="s">
        <v>194</v>
      </c>
      <c r="K6" s="40" t="s">
        <v>194</v>
      </c>
      <c r="L6" s="40" t="s">
        <v>194</v>
      </c>
      <c r="M6" s="40" t="s">
        <v>194</v>
      </c>
      <c r="N6" s="39" t="s">
        <v>214</v>
      </c>
      <c r="O6" s="40" t="s">
        <v>1227</v>
      </c>
      <c r="P6" s="39" t="s">
        <v>194</v>
      </c>
      <c r="Q6" s="40" t="s">
        <v>1228</v>
      </c>
      <c r="R6" s="40" t="s">
        <v>1229</v>
      </c>
      <c r="S6" s="40" t="s">
        <v>1230</v>
      </c>
      <c r="T6" s="39" t="s">
        <v>201</v>
      </c>
      <c r="U6" s="39" t="s">
        <v>194</v>
      </c>
      <c r="V6" s="39" t="s">
        <v>260</v>
      </c>
      <c r="W6" s="39"/>
      <c r="X6" s="39"/>
      <c r="Y6" s="40"/>
      <c r="Z6" s="35" t="s">
        <v>203</v>
      </c>
      <c r="AA6" s="40" t="s">
        <v>1231</v>
      </c>
      <c r="AB6" s="40" t="s">
        <v>419</v>
      </c>
      <c r="AC6" s="39" t="s">
        <v>108</v>
      </c>
      <c r="AD6" s="39" t="s">
        <v>262</v>
      </c>
      <c r="AE6" s="39" t="s">
        <v>203</v>
      </c>
      <c r="AF6" s="39" t="s">
        <v>206</v>
      </c>
      <c r="AG6" s="39" t="s">
        <v>203</v>
      </c>
      <c r="AH6" s="39" t="s">
        <v>242</v>
      </c>
      <c r="AI6" s="39" t="s">
        <v>207</v>
      </c>
      <c r="AJ6" s="39" t="s">
        <v>194</v>
      </c>
      <c r="AK6" s="39" t="s">
        <v>194</v>
      </c>
      <c r="AL6" s="39"/>
      <c r="AM6" s="39"/>
      <c r="AN6" s="35" t="s">
        <v>208</v>
      </c>
      <c r="AO6" s="39"/>
      <c r="AP6" s="39"/>
      <c r="AQ6" s="39"/>
      <c r="AR6" s="40" t="s">
        <v>214</v>
      </c>
      <c r="AS6" s="40" t="s">
        <v>194</v>
      </c>
      <c r="AT6" s="40" t="s">
        <v>221</v>
      </c>
      <c r="AU6" s="41" t="s">
        <v>75</v>
      </c>
      <c r="AV6" s="35" t="s">
        <v>99</v>
      </c>
      <c r="AW6" s="36" t="s">
        <v>95</v>
      </c>
      <c r="AX6" s="42" t="s">
        <v>86</v>
      </c>
      <c r="AY6" s="40" t="s">
        <v>1232</v>
      </c>
    </row>
    <row r="7" customFormat="false" ht="30" hidden="false" customHeight="true" outlineLevel="0" collapsed="false">
      <c r="A7" s="33" t="n">
        <v>5</v>
      </c>
      <c r="B7" s="34" t="s">
        <v>1204</v>
      </c>
      <c r="C7" s="34" t="s">
        <v>403</v>
      </c>
      <c r="D7" s="34" t="s">
        <v>403</v>
      </c>
      <c r="E7" s="34" t="s">
        <v>1206</v>
      </c>
      <c r="F7" s="33" t="s">
        <v>1207</v>
      </c>
      <c r="G7" s="34" t="s">
        <v>194</v>
      </c>
      <c r="H7" s="34" t="s">
        <v>213</v>
      </c>
      <c r="I7" s="34" t="s">
        <v>194</v>
      </c>
      <c r="J7" s="33" t="s">
        <v>194</v>
      </c>
      <c r="K7" s="34" t="s">
        <v>194</v>
      </c>
      <c r="L7" s="34" t="s">
        <v>194</v>
      </c>
      <c r="M7" s="34" t="s">
        <v>194</v>
      </c>
      <c r="N7" s="33" t="s">
        <v>214</v>
      </c>
      <c r="O7" s="34" t="s">
        <v>1233</v>
      </c>
      <c r="P7" s="33" t="s">
        <v>194</v>
      </c>
      <c r="Q7" s="34" t="s">
        <v>1234</v>
      </c>
      <c r="R7" s="34" t="s">
        <v>1235</v>
      </c>
      <c r="S7" s="34" t="s">
        <v>330</v>
      </c>
      <c r="T7" s="33" t="s">
        <v>520</v>
      </c>
      <c r="U7" s="33" t="s">
        <v>194</v>
      </c>
      <c r="V7" s="33"/>
      <c r="W7" s="33"/>
      <c r="X7" s="33"/>
      <c r="Y7" s="34" t="s">
        <v>1236</v>
      </c>
      <c r="Z7" s="36" t="s">
        <v>97</v>
      </c>
      <c r="AA7" s="34" t="s">
        <v>1237</v>
      </c>
      <c r="AB7" s="34" t="s">
        <v>247</v>
      </c>
      <c r="AC7" s="33" t="s">
        <v>108</v>
      </c>
      <c r="AD7" s="33" t="s">
        <v>262</v>
      </c>
      <c r="AE7" s="33" t="s">
        <v>203</v>
      </c>
      <c r="AF7" s="33" t="s">
        <v>206</v>
      </c>
      <c r="AG7" s="33" t="s">
        <v>203</v>
      </c>
      <c r="AH7" s="33" t="s">
        <v>242</v>
      </c>
      <c r="AI7" s="33" t="s">
        <v>207</v>
      </c>
      <c r="AJ7" s="33" t="s">
        <v>194</v>
      </c>
      <c r="AK7" s="33" t="s">
        <v>194</v>
      </c>
      <c r="AL7" s="33"/>
      <c r="AM7" s="33"/>
      <c r="AN7" s="33"/>
      <c r="AO7" s="33"/>
      <c r="AP7" s="33"/>
      <c r="AQ7" s="33"/>
      <c r="AR7" s="34" t="s">
        <v>214</v>
      </c>
      <c r="AS7" s="34" t="s">
        <v>194</v>
      </c>
      <c r="AT7" s="34" t="s">
        <v>221</v>
      </c>
      <c r="AU7" s="41" t="s">
        <v>75</v>
      </c>
      <c r="AV7" s="33" t="s">
        <v>81</v>
      </c>
      <c r="AW7" s="43" t="s">
        <v>97</v>
      </c>
      <c r="AX7" s="45" t="s">
        <v>90</v>
      </c>
      <c r="AY7" s="34"/>
    </row>
  </sheetData>
  <mergeCells count="1">
    <mergeCell ref="A1:A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8" min="18" style="0" width="34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1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22"/>
    <col collapsed="false" customWidth="true" hidden="false" outlineLevel="0" max="26" min="26" style="0" width="9"/>
    <col collapsed="false" customWidth="true" hidden="false" outlineLevel="0" max="27" min="27" style="0" width="30"/>
    <col collapsed="false" customWidth="true" hidden="false" outlineLevel="0" max="28" min="28" style="0" width="20"/>
    <col collapsed="false" customWidth="true" hidden="false" outlineLevel="0" max="29" min="29" style="0" width="13"/>
    <col collapsed="false" customWidth="true" hidden="false" outlineLevel="0" max="30" min="30" style="0" width="14"/>
    <col collapsed="false" customWidth="true" hidden="false" outlineLevel="0" max="31" min="31" style="0" width="9"/>
    <col collapsed="false" customWidth="true" hidden="false" outlineLevel="0" max="32" min="32" style="0" width="18"/>
    <col collapsed="false" customWidth="true" hidden="false" outlineLevel="0" max="33" min="33" style="0" width="9"/>
    <col collapsed="false" customWidth="true" hidden="false" outlineLevel="0" max="35" min="34" style="0" width="8"/>
    <col collapsed="false" customWidth="true" hidden="false" outlineLevel="0" max="37" min="36" style="0" width="11"/>
    <col collapsed="false" customWidth="true" hidden="false" outlineLevel="0" max="38" min="38" style="0" width="8"/>
    <col collapsed="false" customWidth="true" hidden="false" outlineLevel="0" max="39" min="39" style="0" width="6"/>
    <col collapsed="false" customWidth="true" hidden="false" outlineLevel="0" max="40" min="40" style="0" width="9"/>
    <col collapsed="false" customWidth="true" hidden="false" outlineLevel="0" max="41" min="41" style="0" width="8"/>
    <col collapsed="false" customWidth="true" hidden="false" outlineLevel="0" max="42" min="42" style="0" width="10"/>
    <col collapsed="false" customWidth="true" hidden="false" outlineLevel="0" max="43" min="43" style="0" width="7"/>
    <col collapsed="false" customWidth="true" hidden="false" outlineLevel="0" max="45" min="44" style="0" width="18"/>
    <col collapsed="false" customWidth="true" hidden="false" outlineLevel="0" max="47" min="46" style="0" width="22"/>
    <col collapsed="false" customWidth="true" hidden="false" outlineLevel="0" max="48" min="48" style="0" width="13"/>
    <col collapsed="false" customWidth="true" hidden="false" outlineLevel="0" max="49" min="49" style="0" width="11"/>
    <col collapsed="false" customWidth="true" hidden="false" outlineLevel="0" max="50" min="50" style="0" width="9"/>
    <col collapsed="false" customWidth="true" hidden="false" outlineLevel="0" max="51" min="51" style="0" width="40"/>
  </cols>
  <sheetData>
    <row r="1" customFormat="false" ht="21.75" hidden="false" customHeight="true" outlineLevel="0" collapsed="false">
      <c r="A1" s="31" t="s">
        <v>1238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</row>
    <row r="2" customFormat="false" ht="19.4" hidden="false" customHeight="false" outlineLevel="0" collapsed="false">
      <c r="A2" s="32" t="s">
        <v>140</v>
      </c>
      <c r="B2" s="32" t="s">
        <v>141</v>
      </c>
      <c r="C2" s="32" t="s">
        <v>142</v>
      </c>
      <c r="D2" s="32" t="s">
        <v>143</v>
      </c>
      <c r="E2" s="32" t="s">
        <v>144</v>
      </c>
      <c r="F2" s="32" t="s">
        <v>145</v>
      </c>
      <c r="G2" s="32" t="s">
        <v>146</v>
      </c>
      <c r="H2" s="32" t="s">
        <v>147</v>
      </c>
      <c r="I2" s="32" t="s">
        <v>148</v>
      </c>
      <c r="J2" s="32" t="s">
        <v>149</v>
      </c>
      <c r="K2" s="32" t="s">
        <v>150</v>
      </c>
      <c r="L2" s="32" t="s">
        <v>151</v>
      </c>
      <c r="M2" s="32" t="s">
        <v>152</v>
      </c>
      <c r="N2" s="32" t="s">
        <v>153</v>
      </c>
      <c r="O2" s="32" t="s">
        <v>154</v>
      </c>
      <c r="P2" s="32" t="s">
        <v>155</v>
      </c>
      <c r="Q2" s="32" t="s">
        <v>156</v>
      </c>
      <c r="R2" s="32" t="s">
        <v>157</v>
      </c>
      <c r="S2" s="32" t="s">
        <v>117</v>
      </c>
      <c r="T2" s="32" t="s">
        <v>158</v>
      </c>
      <c r="U2" s="32" t="s">
        <v>159</v>
      </c>
      <c r="V2" s="32" t="s">
        <v>160</v>
      </c>
      <c r="W2" s="32" t="s">
        <v>161</v>
      </c>
      <c r="X2" s="32" t="s">
        <v>162</v>
      </c>
      <c r="Y2" s="32" t="s">
        <v>163</v>
      </c>
      <c r="Z2" s="32" t="s">
        <v>164</v>
      </c>
      <c r="AA2" s="32" t="s">
        <v>165</v>
      </c>
      <c r="AB2" s="32" t="s">
        <v>166</v>
      </c>
      <c r="AC2" s="32" t="s">
        <v>167</v>
      </c>
      <c r="AD2" s="32" t="s">
        <v>168</v>
      </c>
      <c r="AE2" s="32" t="s">
        <v>169</v>
      </c>
      <c r="AF2" s="32" t="s">
        <v>170</v>
      </c>
      <c r="AG2" s="32" t="s">
        <v>171</v>
      </c>
      <c r="AH2" s="32" t="s">
        <v>172</v>
      </c>
      <c r="AI2" s="32" t="s">
        <v>173</v>
      </c>
      <c r="AJ2" s="32" t="s">
        <v>174</v>
      </c>
      <c r="AK2" s="32" t="s">
        <v>175</v>
      </c>
      <c r="AL2" s="32" t="s">
        <v>176</v>
      </c>
      <c r="AM2" s="32" t="s">
        <v>177</v>
      </c>
      <c r="AN2" s="32" t="s">
        <v>178</v>
      </c>
      <c r="AO2" s="32" t="s">
        <v>179</v>
      </c>
      <c r="AP2" s="32" t="s">
        <v>180</v>
      </c>
      <c r="AQ2" s="32" t="s">
        <v>181</v>
      </c>
      <c r="AR2" s="32" t="s">
        <v>182</v>
      </c>
      <c r="AS2" s="32" t="s">
        <v>183</v>
      </c>
      <c r="AT2" s="32" t="s">
        <v>184</v>
      </c>
      <c r="AU2" s="32" t="s">
        <v>185</v>
      </c>
      <c r="AV2" s="32" t="s">
        <v>186</v>
      </c>
      <c r="AW2" s="32" t="s">
        <v>187</v>
      </c>
      <c r="AX2" s="32" t="s">
        <v>188</v>
      </c>
      <c r="AY2" s="32" t="s">
        <v>189</v>
      </c>
    </row>
    <row r="3" customFormat="false" ht="30" hidden="false" customHeight="true" outlineLevel="0" collapsed="false">
      <c r="A3" s="33" t="n">
        <v>1</v>
      </c>
      <c r="B3" s="34" t="s">
        <v>1239</v>
      </c>
      <c r="C3" s="34" t="s">
        <v>178</v>
      </c>
      <c r="D3" s="34" t="s">
        <v>178</v>
      </c>
      <c r="E3" s="34" t="s">
        <v>1240</v>
      </c>
      <c r="F3" s="33" t="s">
        <v>1241</v>
      </c>
      <c r="G3" s="34" t="s">
        <v>194</v>
      </c>
      <c r="H3" s="34" t="s">
        <v>1242</v>
      </c>
      <c r="I3" s="34" t="s">
        <v>194</v>
      </c>
      <c r="J3" s="33" t="s">
        <v>194</v>
      </c>
      <c r="K3" s="34" t="s">
        <v>194</v>
      </c>
      <c r="L3" s="34" t="s">
        <v>1243</v>
      </c>
      <c r="M3" s="34" t="s">
        <v>194</v>
      </c>
      <c r="N3" s="33" t="s">
        <v>1244</v>
      </c>
      <c r="O3" s="34" t="s">
        <v>194</v>
      </c>
      <c r="P3" s="33" t="s">
        <v>194</v>
      </c>
      <c r="Q3" s="34" t="s">
        <v>1245</v>
      </c>
      <c r="R3" s="34" t="s">
        <v>1246</v>
      </c>
      <c r="S3" s="34" t="s">
        <v>178</v>
      </c>
      <c r="T3" s="33" t="s">
        <v>279</v>
      </c>
      <c r="U3" s="33" t="s">
        <v>711</v>
      </c>
      <c r="V3" s="33"/>
      <c r="W3" s="33"/>
      <c r="X3" s="33"/>
      <c r="Y3" s="34"/>
      <c r="Z3" s="35" t="s">
        <v>203</v>
      </c>
      <c r="AA3" s="34" t="s">
        <v>1247</v>
      </c>
      <c r="AB3" s="34" t="s">
        <v>348</v>
      </c>
      <c r="AC3" s="33" t="s">
        <v>110</v>
      </c>
      <c r="AD3" s="33" t="s">
        <v>1248</v>
      </c>
      <c r="AE3" s="33" t="s">
        <v>203</v>
      </c>
      <c r="AF3" s="33" t="s">
        <v>206</v>
      </c>
      <c r="AG3" s="33" t="s">
        <v>203</v>
      </c>
      <c r="AH3" s="33" t="s">
        <v>203</v>
      </c>
      <c r="AI3" s="33" t="s">
        <v>207</v>
      </c>
      <c r="AJ3" s="33" t="s">
        <v>194</v>
      </c>
      <c r="AK3" s="33" t="s">
        <v>194</v>
      </c>
      <c r="AL3" s="33"/>
      <c r="AM3" s="35" t="s">
        <v>208</v>
      </c>
      <c r="AN3" s="35" t="s">
        <v>208</v>
      </c>
      <c r="AO3" s="33"/>
      <c r="AP3" s="33"/>
      <c r="AQ3" s="33"/>
      <c r="AR3" s="34" t="s">
        <v>1244</v>
      </c>
      <c r="AS3" s="34" t="s">
        <v>194</v>
      </c>
      <c r="AT3" s="34" t="s">
        <v>1249</v>
      </c>
      <c r="AU3" s="41" t="s">
        <v>77</v>
      </c>
      <c r="AV3" s="36" t="s">
        <v>101</v>
      </c>
      <c r="AW3" s="37" t="s">
        <v>93</v>
      </c>
      <c r="AX3" s="38" t="s">
        <v>84</v>
      </c>
      <c r="AY3" s="34" t="s">
        <v>1250</v>
      </c>
    </row>
    <row r="4" customFormat="false" ht="30" hidden="false" customHeight="true" outlineLevel="0" collapsed="false">
      <c r="A4" s="39" t="n">
        <v>2</v>
      </c>
      <c r="B4" s="40" t="s">
        <v>1239</v>
      </c>
      <c r="C4" s="40" t="s">
        <v>181</v>
      </c>
      <c r="D4" s="40" t="s">
        <v>181</v>
      </c>
      <c r="E4" s="40" t="s">
        <v>1240</v>
      </c>
      <c r="F4" s="39" t="s">
        <v>1241</v>
      </c>
      <c r="G4" s="40" t="s">
        <v>194</v>
      </c>
      <c r="H4" s="40" t="s">
        <v>1242</v>
      </c>
      <c r="I4" s="40" t="s">
        <v>194</v>
      </c>
      <c r="J4" s="39" t="s">
        <v>194</v>
      </c>
      <c r="K4" s="40" t="s">
        <v>194</v>
      </c>
      <c r="L4" s="40" t="s">
        <v>1243</v>
      </c>
      <c r="M4" s="40" t="s">
        <v>194</v>
      </c>
      <c r="N4" s="39" t="s">
        <v>1244</v>
      </c>
      <c r="O4" s="40" t="s">
        <v>194</v>
      </c>
      <c r="P4" s="39" t="s">
        <v>194</v>
      </c>
      <c r="Q4" s="40" t="s">
        <v>1251</v>
      </c>
      <c r="R4" s="40" t="s">
        <v>1252</v>
      </c>
      <c r="S4" s="40" t="s">
        <v>181</v>
      </c>
      <c r="T4" s="39" t="s">
        <v>279</v>
      </c>
      <c r="U4" s="39" t="s">
        <v>1253</v>
      </c>
      <c r="V4" s="39"/>
      <c r="W4" s="39"/>
      <c r="X4" s="39"/>
      <c r="Y4" s="40"/>
      <c r="Z4" s="35" t="s">
        <v>203</v>
      </c>
      <c r="AA4" s="40" t="s">
        <v>1254</v>
      </c>
      <c r="AB4" s="40" t="s">
        <v>181</v>
      </c>
      <c r="AC4" s="39" t="s">
        <v>110</v>
      </c>
      <c r="AD4" s="39" t="s">
        <v>1248</v>
      </c>
      <c r="AE4" s="39" t="s">
        <v>203</v>
      </c>
      <c r="AF4" s="39" t="s">
        <v>206</v>
      </c>
      <c r="AG4" s="39" t="s">
        <v>203</v>
      </c>
      <c r="AH4" s="39" t="s">
        <v>203</v>
      </c>
      <c r="AI4" s="39" t="s">
        <v>207</v>
      </c>
      <c r="AJ4" s="39" t="s">
        <v>194</v>
      </c>
      <c r="AK4" s="39" t="s">
        <v>194</v>
      </c>
      <c r="AL4" s="39"/>
      <c r="AM4" s="39"/>
      <c r="AN4" s="39"/>
      <c r="AO4" s="39"/>
      <c r="AP4" s="39"/>
      <c r="AQ4" s="35" t="s">
        <v>208</v>
      </c>
      <c r="AR4" s="40" t="s">
        <v>1244</v>
      </c>
      <c r="AS4" s="40" t="s">
        <v>194</v>
      </c>
      <c r="AT4" s="40" t="s">
        <v>1249</v>
      </c>
      <c r="AU4" s="41" t="s">
        <v>77</v>
      </c>
      <c r="AV4" s="36" t="s">
        <v>101</v>
      </c>
      <c r="AW4" s="36" t="s">
        <v>95</v>
      </c>
      <c r="AX4" s="42" t="s">
        <v>86</v>
      </c>
      <c r="AY4" s="40" t="s">
        <v>1255</v>
      </c>
    </row>
    <row r="5" customFormat="false" ht="30" hidden="false" customHeight="true" outlineLevel="0" collapsed="false">
      <c r="A5" s="33" t="n">
        <v>3</v>
      </c>
      <c r="B5" s="34" t="s">
        <v>1239</v>
      </c>
      <c r="C5" s="34" t="s">
        <v>588</v>
      </c>
      <c r="D5" s="34" t="s">
        <v>588</v>
      </c>
      <c r="E5" s="34" t="s">
        <v>1240</v>
      </c>
      <c r="F5" s="33" t="s">
        <v>1241</v>
      </c>
      <c r="G5" s="34" t="s">
        <v>194</v>
      </c>
      <c r="H5" s="34" t="s">
        <v>1242</v>
      </c>
      <c r="I5" s="34" t="s">
        <v>194</v>
      </c>
      <c r="J5" s="33" t="s">
        <v>194</v>
      </c>
      <c r="K5" s="34" t="s">
        <v>194</v>
      </c>
      <c r="L5" s="34" t="s">
        <v>1243</v>
      </c>
      <c r="M5" s="34" t="s">
        <v>194</v>
      </c>
      <c r="N5" s="33" t="s">
        <v>1244</v>
      </c>
      <c r="O5" s="34" t="s">
        <v>194</v>
      </c>
      <c r="P5" s="33" t="s">
        <v>194</v>
      </c>
      <c r="Q5" s="34" t="s">
        <v>1256</v>
      </c>
      <c r="R5" s="34" t="s">
        <v>1257</v>
      </c>
      <c r="S5" s="34" t="s">
        <v>1258</v>
      </c>
      <c r="T5" s="33" t="s">
        <v>279</v>
      </c>
      <c r="U5" s="33" t="s">
        <v>1259</v>
      </c>
      <c r="V5" s="33"/>
      <c r="W5" s="33"/>
      <c r="X5" s="33"/>
      <c r="Y5" s="34"/>
      <c r="Z5" s="35" t="s">
        <v>203</v>
      </c>
      <c r="AA5" s="34" t="s">
        <v>1260</v>
      </c>
      <c r="AB5" s="34" t="s">
        <v>1261</v>
      </c>
      <c r="AC5" s="33" t="s">
        <v>106</v>
      </c>
      <c r="AD5" s="33" t="s">
        <v>286</v>
      </c>
      <c r="AE5" s="33" t="s">
        <v>203</v>
      </c>
      <c r="AF5" s="33" t="s">
        <v>206</v>
      </c>
      <c r="AG5" s="33" t="s">
        <v>203</v>
      </c>
      <c r="AH5" s="33" t="s">
        <v>203</v>
      </c>
      <c r="AI5" s="33" t="s">
        <v>203</v>
      </c>
      <c r="AJ5" s="33" t="s">
        <v>1262</v>
      </c>
      <c r="AK5" s="33" t="s">
        <v>194</v>
      </c>
      <c r="AL5" s="33"/>
      <c r="AM5" s="33"/>
      <c r="AN5" s="33"/>
      <c r="AO5" s="35" t="s">
        <v>208</v>
      </c>
      <c r="AP5" s="33"/>
      <c r="AQ5" s="33"/>
      <c r="AR5" s="34" t="s">
        <v>1244</v>
      </c>
      <c r="AS5" s="34" t="s">
        <v>194</v>
      </c>
      <c r="AT5" s="34" t="s">
        <v>1249</v>
      </c>
      <c r="AU5" s="41" t="s">
        <v>77</v>
      </c>
      <c r="AV5" s="35" t="s">
        <v>99</v>
      </c>
      <c r="AW5" s="36" t="s">
        <v>95</v>
      </c>
      <c r="AX5" s="42" t="s">
        <v>86</v>
      </c>
      <c r="AY5" s="34" t="s">
        <v>1263</v>
      </c>
    </row>
    <row r="6" customFormat="false" ht="30" hidden="false" customHeight="true" outlineLevel="0" collapsed="false">
      <c r="A6" s="39" t="n">
        <v>4</v>
      </c>
      <c r="B6" s="40" t="s">
        <v>1239</v>
      </c>
      <c r="C6" s="40" t="s">
        <v>1264</v>
      </c>
      <c r="D6" s="40" t="s">
        <v>1264</v>
      </c>
      <c r="E6" s="40" t="s">
        <v>1240</v>
      </c>
      <c r="F6" s="39" t="s">
        <v>1241</v>
      </c>
      <c r="G6" s="40" t="s">
        <v>194</v>
      </c>
      <c r="H6" s="40" t="s">
        <v>1242</v>
      </c>
      <c r="I6" s="40" t="s">
        <v>194</v>
      </c>
      <c r="J6" s="39" t="s">
        <v>194</v>
      </c>
      <c r="K6" s="40" t="s">
        <v>194</v>
      </c>
      <c r="L6" s="40" t="s">
        <v>1243</v>
      </c>
      <c r="M6" s="40" t="s">
        <v>194</v>
      </c>
      <c r="N6" s="39" t="s">
        <v>1244</v>
      </c>
      <c r="O6" s="40" t="s">
        <v>194</v>
      </c>
      <c r="P6" s="39" t="s">
        <v>194</v>
      </c>
      <c r="Q6" s="40" t="s">
        <v>1265</v>
      </c>
      <c r="R6" s="40" t="s">
        <v>1266</v>
      </c>
      <c r="S6" s="40" t="s">
        <v>178</v>
      </c>
      <c r="T6" s="39" t="s">
        <v>279</v>
      </c>
      <c r="U6" s="39" t="s">
        <v>547</v>
      </c>
      <c r="V6" s="39"/>
      <c r="W6" s="39"/>
      <c r="X6" s="39"/>
      <c r="Y6" s="40"/>
      <c r="Z6" s="35" t="s">
        <v>203</v>
      </c>
      <c r="AA6" s="40" t="s">
        <v>1267</v>
      </c>
      <c r="AB6" s="40" t="s">
        <v>177</v>
      </c>
      <c r="AC6" s="39" t="s">
        <v>110</v>
      </c>
      <c r="AD6" s="39" t="s">
        <v>1268</v>
      </c>
      <c r="AE6" s="39" t="s">
        <v>203</v>
      </c>
      <c r="AF6" s="39" t="s">
        <v>206</v>
      </c>
      <c r="AG6" s="39" t="s">
        <v>203</v>
      </c>
      <c r="AH6" s="39" t="s">
        <v>203</v>
      </c>
      <c r="AI6" s="39" t="s">
        <v>207</v>
      </c>
      <c r="AJ6" s="39" t="s">
        <v>194</v>
      </c>
      <c r="AK6" s="39" t="s">
        <v>194</v>
      </c>
      <c r="AL6" s="39"/>
      <c r="AM6" s="35" t="s">
        <v>208</v>
      </c>
      <c r="AN6" s="35" t="s">
        <v>208</v>
      </c>
      <c r="AO6" s="39"/>
      <c r="AP6" s="39"/>
      <c r="AQ6" s="39"/>
      <c r="AR6" s="40" t="s">
        <v>1244</v>
      </c>
      <c r="AS6" s="40" t="s">
        <v>194</v>
      </c>
      <c r="AT6" s="40" t="s">
        <v>1249</v>
      </c>
      <c r="AU6" s="41" t="s">
        <v>77</v>
      </c>
      <c r="AV6" s="36" t="s">
        <v>101</v>
      </c>
      <c r="AW6" s="36" t="s">
        <v>95</v>
      </c>
      <c r="AX6" s="42" t="s">
        <v>86</v>
      </c>
      <c r="AY6" s="40" t="s">
        <v>1269</v>
      </c>
    </row>
    <row r="7" customFormat="false" ht="30" hidden="false" customHeight="true" outlineLevel="0" collapsed="false">
      <c r="A7" s="33" t="n">
        <v>5</v>
      </c>
      <c r="B7" s="34" t="s">
        <v>1239</v>
      </c>
      <c r="C7" s="34" t="s">
        <v>469</v>
      </c>
      <c r="D7" s="34" t="s">
        <v>469</v>
      </c>
      <c r="E7" s="34" t="s">
        <v>1240</v>
      </c>
      <c r="F7" s="33" t="s">
        <v>1241</v>
      </c>
      <c r="G7" s="34" t="s">
        <v>194</v>
      </c>
      <c r="H7" s="34" t="s">
        <v>1242</v>
      </c>
      <c r="I7" s="34" t="s">
        <v>194</v>
      </c>
      <c r="J7" s="33" t="s">
        <v>194</v>
      </c>
      <c r="K7" s="34" t="s">
        <v>194</v>
      </c>
      <c r="L7" s="34" t="s">
        <v>1243</v>
      </c>
      <c r="M7" s="34" t="s">
        <v>194</v>
      </c>
      <c r="N7" s="33" t="s">
        <v>1244</v>
      </c>
      <c r="O7" s="34" t="s">
        <v>194</v>
      </c>
      <c r="P7" s="33" t="s">
        <v>194</v>
      </c>
      <c r="Q7" s="34" t="s">
        <v>1270</v>
      </c>
      <c r="R7" s="34" t="s">
        <v>1271</v>
      </c>
      <c r="S7" s="34" t="s">
        <v>176</v>
      </c>
      <c r="T7" s="33" t="s">
        <v>279</v>
      </c>
      <c r="U7" s="33" t="s">
        <v>1073</v>
      </c>
      <c r="V7" s="33"/>
      <c r="W7" s="33"/>
      <c r="X7" s="33"/>
      <c r="Y7" s="34"/>
      <c r="Z7" s="35" t="s">
        <v>203</v>
      </c>
      <c r="AA7" s="34" t="s">
        <v>1272</v>
      </c>
      <c r="AB7" s="34" t="s">
        <v>688</v>
      </c>
      <c r="AC7" s="33" t="s">
        <v>108</v>
      </c>
      <c r="AD7" s="33" t="s">
        <v>1273</v>
      </c>
      <c r="AE7" s="33" t="s">
        <v>203</v>
      </c>
      <c r="AF7" s="33" t="s">
        <v>206</v>
      </c>
      <c r="AG7" s="33" t="s">
        <v>203</v>
      </c>
      <c r="AH7" s="33" t="s">
        <v>203</v>
      </c>
      <c r="AI7" s="33" t="s">
        <v>203</v>
      </c>
      <c r="AJ7" s="33" t="s">
        <v>1274</v>
      </c>
      <c r="AK7" s="33" t="s">
        <v>1275</v>
      </c>
      <c r="AL7" s="35" t="s">
        <v>208</v>
      </c>
      <c r="AM7" s="35" t="s">
        <v>208</v>
      </c>
      <c r="AN7" s="33"/>
      <c r="AO7" s="33"/>
      <c r="AP7" s="33"/>
      <c r="AQ7" s="33"/>
      <c r="AR7" s="34" t="s">
        <v>1244</v>
      </c>
      <c r="AS7" s="34" t="s">
        <v>194</v>
      </c>
      <c r="AT7" s="34" t="s">
        <v>1249</v>
      </c>
      <c r="AU7" s="41" t="s">
        <v>77</v>
      </c>
      <c r="AV7" s="36" t="s">
        <v>101</v>
      </c>
      <c r="AW7" s="37" t="s">
        <v>93</v>
      </c>
      <c r="AX7" s="38" t="s">
        <v>84</v>
      </c>
      <c r="AY7" s="34" t="s">
        <v>1276</v>
      </c>
    </row>
    <row r="8" customFormat="false" ht="30" hidden="false" customHeight="true" outlineLevel="0" collapsed="false">
      <c r="A8" s="39" t="n">
        <v>6</v>
      </c>
      <c r="B8" s="40" t="s">
        <v>1239</v>
      </c>
      <c r="C8" s="40" t="s">
        <v>179</v>
      </c>
      <c r="D8" s="40" t="s">
        <v>179</v>
      </c>
      <c r="E8" s="40" t="s">
        <v>1240</v>
      </c>
      <c r="F8" s="39" t="s">
        <v>1241</v>
      </c>
      <c r="G8" s="40" t="s">
        <v>194</v>
      </c>
      <c r="H8" s="40" t="s">
        <v>1242</v>
      </c>
      <c r="I8" s="40" t="s">
        <v>194</v>
      </c>
      <c r="J8" s="39" t="s">
        <v>194</v>
      </c>
      <c r="K8" s="40" t="s">
        <v>194</v>
      </c>
      <c r="L8" s="40" t="s">
        <v>1243</v>
      </c>
      <c r="M8" s="40" t="s">
        <v>194</v>
      </c>
      <c r="N8" s="39" t="s">
        <v>1244</v>
      </c>
      <c r="O8" s="40" t="s">
        <v>194</v>
      </c>
      <c r="P8" s="39" t="s">
        <v>194</v>
      </c>
      <c r="Q8" s="40" t="s">
        <v>1277</v>
      </c>
      <c r="R8" s="40" t="s">
        <v>1278</v>
      </c>
      <c r="S8" s="40" t="s">
        <v>179</v>
      </c>
      <c r="T8" s="39" t="s">
        <v>279</v>
      </c>
      <c r="U8" s="39" t="s">
        <v>547</v>
      </c>
      <c r="V8" s="39"/>
      <c r="W8" s="39"/>
      <c r="X8" s="39"/>
      <c r="Y8" s="40"/>
      <c r="Z8" s="35" t="s">
        <v>203</v>
      </c>
      <c r="AA8" s="40" t="s">
        <v>1279</v>
      </c>
      <c r="AB8" s="40" t="s">
        <v>817</v>
      </c>
      <c r="AC8" s="39" t="s">
        <v>110</v>
      </c>
      <c r="AD8" s="39" t="s">
        <v>236</v>
      </c>
      <c r="AE8" s="39" t="s">
        <v>203</v>
      </c>
      <c r="AF8" s="39" t="s">
        <v>206</v>
      </c>
      <c r="AG8" s="39" t="s">
        <v>203</v>
      </c>
      <c r="AH8" s="39" t="s">
        <v>203</v>
      </c>
      <c r="AI8" s="39" t="s">
        <v>207</v>
      </c>
      <c r="AJ8" s="39" t="s">
        <v>194</v>
      </c>
      <c r="AK8" s="39" t="s">
        <v>194</v>
      </c>
      <c r="AL8" s="39"/>
      <c r="AM8" s="35" t="s">
        <v>208</v>
      </c>
      <c r="AN8" s="39"/>
      <c r="AO8" s="35" t="s">
        <v>208</v>
      </c>
      <c r="AP8" s="39"/>
      <c r="AQ8" s="39"/>
      <c r="AR8" s="40" t="s">
        <v>1244</v>
      </c>
      <c r="AS8" s="40" t="s">
        <v>194</v>
      </c>
      <c r="AT8" s="40" t="s">
        <v>1249</v>
      </c>
      <c r="AU8" s="41" t="s">
        <v>77</v>
      </c>
      <c r="AV8" s="36" t="s">
        <v>101</v>
      </c>
      <c r="AW8" s="36" t="s">
        <v>95</v>
      </c>
      <c r="AX8" s="42" t="s">
        <v>86</v>
      </c>
      <c r="AY8" s="40" t="s">
        <v>1280</v>
      </c>
    </row>
    <row r="9" customFormat="false" ht="30" hidden="false" customHeight="true" outlineLevel="0" collapsed="false">
      <c r="A9" s="33" t="n">
        <v>7</v>
      </c>
      <c r="B9" s="34" t="s">
        <v>1239</v>
      </c>
      <c r="C9" s="34" t="s">
        <v>177</v>
      </c>
      <c r="D9" s="34" t="s">
        <v>177</v>
      </c>
      <c r="E9" s="34" t="s">
        <v>1240</v>
      </c>
      <c r="F9" s="33" t="s">
        <v>1241</v>
      </c>
      <c r="G9" s="34" t="s">
        <v>194</v>
      </c>
      <c r="H9" s="34" t="s">
        <v>1242</v>
      </c>
      <c r="I9" s="34" t="s">
        <v>194</v>
      </c>
      <c r="J9" s="33" t="s">
        <v>194</v>
      </c>
      <c r="K9" s="34" t="s">
        <v>194</v>
      </c>
      <c r="L9" s="34" t="s">
        <v>1243</v>
      </c>
      <c r="M9" s="34" t="s">
        <v>194</v>
      </c>
      <c r="N9" s="33" t="s">
        <v>1244</v>
      </c>
      <c r="O9" s="34" t="s">
        <v>194</v>
      </c>
      <c r="P9" s="33" t="s">
        <v>194</v>
      </c>
      <c r="Q9" s="34" t="s">
        <v>1281</v>
      </c>
      <c r="R9" s="34" t="s">
        <v>1282</v>
      </c>
      <c r="S9" s="34" t="s">
        <v>177</v>
      </c>
      <c r="T9" s="33" t="s">
        <v>279</v>
      </c>
      <c r="U9" s="33" t="s">
        <v>547</v>
      </c>
      <c r="V9" s="33"/>
      <c r="W9" s="33"/>
      <c r="X9" s="33"/>
      <c r="Y9" s="34"/>
      <c r="Z9" s="35" t="s">
        <v>203</v>
      </c>
      <c r="AA9" s="34" t="s">
        <v>1283</v>
      </c>
      <c r="AB9" s="34" t="s">
        <v>177</v>
      </c>
      <c r="AC9" s="33" t="s">
        <v>110</v>
      </c>
      <c r="AD9" s="33" t="s">
        <v>236</v>
      </c>
      <c r="AE9" s="33" t="s">
        <v>203</v>
      </c>
      <c r="AF9" s="33" t="s">
        <v>206</v>
      </c>
      <c r="AG9" s="33" t="s">
        <v>203</v>
      </c>
      <c r="AH9" s="33" t="s">
        <v>203</v>
      </c>
      <c r="AI9" s="33" t="s">
        <v>207</v>
      </c>
      <c r="AJ9" s="33" t="s">
        <v>194</v>
      </c>
      <c r="AK9" s="33" t="s">
        <v>194</v>
      </c>
      <c r="AL9" s="35" t="s">
        <v>208</v>
      </c>
      <c r="AM9" s="35" t="s">
        <v>208</v>
      </c>
      <c r="AN9" s="35" t="s">
        <v>208</v>
      </c>
      <c r="AO9" s="35" t="s">
        <v>208</v>
      </c>
      <c r="AP9" s="33"/>
      <c r="AQ9" s="33"/>
      <c r="AR9" s="34" t="s">
        <v>1244</v>
      </c>
      <c r="AS9" s="34" t="s">
        <v>194</v>
      </c>
      <c r="AT9" s="34" t="s">
        <v>1249</v>
      </c>
      <c r="AU9" s="41" t="s">
        <v>77</v>
      </c>
      <c r="AV9" s="36" t="s">
        <v>101</v>
      </c>
      <c r="AW9" s="37" t="s">
        <v>93</v>
      </c>
      <c r="AX9" s="38" t="s">
        <v>84</v>
      </c>
      <c r="AY9" s="34" t="s">
        <v>1284</v>
      </c>
    </row>
  </sheetData>
  <mergeCells count="1">
    <mergeCell ref="A1:A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6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7" min="6" style="0" width="2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46"/>
  </cols>
  <sheetData>
    <row r="1" customFormat="false" ht="21.75" hidden="false" customHeight="true" outlineLevel="0" collapsed="false">
      <c r="A1" s="31" t="s">
        <v>1285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customFormat="false" ht="15" hidden="false" customHeight="false" outlineLevel="0" collapsed="false">
      <c r="A2" s="32" t="s">
        <v>141</v>
      </c>
      <c r="B2" s="32" t="s">
        <v>144</v>
      </c>
      <c r="C2" s="32" t="s">
        <v>1286</v>
      </c>
      <c r="D2" s="32" t="s">
        <v>1287</v>
      </c>
      <c r="E2" s="32" t="s">
        <v>1288</v>
      </c>
      <c r="F2" s="32" t="s">
        <v>597</v>
      </c>
      <c r="G2" s="32" t="s">
        <v>1289</v>
      </c>
      <c r="H2" s="32" t="s">
        <v>1290</v>
      </c>
      <c r="I2" s="32" t="s">
        <v>1291</v>
      </c>
      <c r="J2" s="32" t="s">
        <v>1292</v>
      </c>
      <c r="K2" s="32" t="s">
        <v>1293</v>
      </c>
      <c r="L2" s="32" t="s">
        <v>1294</v>
      </c>
    </row>
    <row r="3" customFormat="false" ht="30" hidden="false" customHeight="true" outlineLevel="0" collapsed="false">
      <c r="A3" s="34" t="s">
        <v>265</v>
      </c>
      <c r="B3" s="34" t="s">
        <v>1295</v>
      </c>
      <c r="C3" s="34" t="s">
        <v>1296</v>
      </c>
      <c r="D3" s="34" t="s">
        <v>1297</v>
      </c>
      <c r="E3" s="34" t="s">
        <v>1298</v>
      </c>
      <c r="F3" s="34" t="s">
        <v>194</v>
      </c>
      <c r="G3" s="34" t="s">
        <v>194</v>
      </c>
      <c r="H3" s="34" t="s">
        <v>287</v>
      </c>
      <c r="I3" s="34" t="s">
        <v>288</v>
      </c>
      <c r="J3" s="46" t="s">
        <v>1299</v>
      </c>
      <c r="K3" s="34" t="s">
        <v>1300</v>
      </c>
      <c r="L3" s="34" t="s">
        <v>1301</v>
      </c>
    </row>
    <row r="4" customFormat="false" ht="30" hidden="false" customHeight="true" outlineLevel="0" collapsed="false">
      <c r="A4" s="40" t="s">
        <v>357</v>
      </c>
      <c r="B4" s="40" t="s">
        <v>1302</v>
      </c>
      <c r="C4" s="40" t="s">
        <v>1296</v>
      </c>
      <c r="D4" s="40" t="s">
        <v>1303</v>
      </c>
      <c r="E4" s="40" t="s">
        <v>1304</v>
      </c>
      <c r="F4" s="40" t="s">
        <v>194</v>
      </c>
      <c r="G4" s="40" t="s">
        <v>194</v>
      </c>
      <c r="H4" s="40" t="s">
        <v>287</v>
      </c>
      <c r="I4" s="40" t="s">
        <v>288</v>
      </c>
      <c r="J4" s="46" t="s">
        <v>1299</v>
      </c>
      <c r="K4" s="46" t="s">
        <v>1305</v>
      </c>
      <c r="L4" s="40" t="s">
        <v>1306</v>
      </c>
    </row>
    <row r="5" customFormat="false" ht="30" hidden="false" customHeight="true" outlineLevel="0" collapsed="false">
      <c r="A5" s="34" t="s">
        <v>357</v>
      </c>
      <c r="B5" s="34" t="s">
        <v>374</v>
      </c>
      <c r="C5" s="34" t="s">
        <v>1307</v>
      </c>
      <c r="D5" s="34" t="s">
        <v>1308</v>
      </c>
      <c r="E5" s="34" t="s">
        <v>1309</v>
      </c>
      <c r="F5" s="34" t="s">
        <v>194</v>
      </c>
      <c r="G5" s="34" t="s">
        <v>194</v>
      </c>
      <c r="H5" s="34" t="s">
        <v>1310</v>
      </c>
      <c r="I5" s="34" t="s">
        <v>1311</v>
      </c>
      <c r="J5" s="47" t="s">
        <v>1312</v>
      </c>
      <c r="K5" s="47" t="s">
        <v>1313</v>
      </c>
      <c r="L5" s="34" t="s">
        <v>1314</v>
      </c>
    </row>
    <row r="6" customFormat="false" ht="30" hidden="false" customHeight="true" outlineLevel="0" collapsed="false">
      <c r="A6" s="40" t="s">
        <v>472</v>
      </c>
      <c r="B6" s="40" t="s">
        <v>1315</v>
      </c>
      <c r="C6" s="40" t="s">
        <v>1316</v>
      </c>
      <c r="D6" s="40" t="s">
        <v>1317</v>
      </c>
      <c r="E6" s="40" t="s">
        <v>1318</v>
      </c>
      <c r="F6" s="40" t="s">
        <v>194</v>
      </c>
      <c r="G6" s="40" t="s">
        <v>194</v>
      </c>
      <c r="H6" s="40" t="s">
        <v>1319</v>
      </c>
      <c r="I6" s="40" t="s">
        <v>487</v>
      </c>
      <c r="J6" s="46" t="s">
        <v>1320</v>
      </c>
      <c r="K6" s="40" t="s">
        <v>1321</v>
      </c>
      <c r="L6" s="40" t="s">
        <v>1322</v>
      </c>
    </row>
    <row r="7" customFormat="false" ht="30" hidden="false" customHeight="true" outlineLevel="0" collapsed="false">
      <c r="A7" s="34" t="s">
        <v>472</v>
      </c>
      <c r="B7" s="34" t="s">
        <v>541</v>
      </c>
      <c r="C7" s="34" t="s">
        <v>1307</v>
      </c>
      <c r="D7" s="34" t="s">
        <v>1323</v>
      </c>
      <c r="E7" s="34" t="s">
        <v>1324</v>
      </c>
      <c r="F7" s="34" t="s">
        <v>194</v>
      </c>
      <c r="G7" s="34" t="s">
        <v>194</v>
      </c>
      <c r="H7" s="34" t="s">
        <v>1325</v>
      </c>
      <c r="I7" s="34" t="s">
        <v>1326</v>
      </c>
      <c r="J7" s="48" t="s">
        <v>1327</v>
      </c>
      <c r="K7" s="34" t="s">
        <v>1328</v>
      </c>
      <c r="L7" s="34" t="s">
        <v>1329</v>
      </c>
    </row>
    <row r="8" customFormat="false" ht="30" hidden="false" customHeight="true" outlineLevel="0" collapsed="false">
      <c r="A8" s="40" t="s">
        <v>587</v>
      </c>
      <c r="B8" s="40" t="s">
        <v>1330</v>
      </c>
      <c r="C8" s="40" t="s">
        <v>1331</v>
      </c>
      <c r="D8" s="40" t="s">
        <v>1332</v>
      </c>
      <c r="E8" s="40" t="s">
        <v>1333</v>
      </c>
      <c r="F8" s="40" t="s">
        <v>1334</v>
      </c>
      <c r="G8" s="40" t="s">
        <v>1335</v>
      </c>
      <c r="H8" s="40" t="s">
        <v>609</v>
      </c>
      <c r="I8" s="40" t="s">
        <v>1336</v>
      </c>
      <c r="J8" s="47" t="s">
        <v>1312</v>
      </c>
      <c r="K8" s="46" t="s">
        <v>1337</v>
      </c>
      <c r="L8" s="40" t="s">
        <v>1338</v>
      </c>
    </row>
    <row r="9" customFormat="false" ht="30" hidden="false" customHeight="true" outlineLevel="0" collapsed="false">
      <c r="A9" s="34" t="s">
        <v>776</v>
      </c>
      <c r="B9" s="34" t="s">
        <v>1339</v>
      </c>
      <c r="C9" s="34" t="s">
        <v>1340</v>
      </c>
      <c r="D9" s="34" t="s">
        <v>1341</v>
      </c>
      <c r="E9" s="34" t="s">
        <v>1342</v>
      </c>
      <c r="F9" s="34" t="s">
        <v>194</v>
      </c>
      <c r="G9" s="34" t="s">
        <v>194</v>
      </c>
      <c r="H9" s="34" t="s">
        <v>789</v>
      </c>
      <c r="I9" s="34" t="s">
        <v>790</v>
      </c>
      <c r="J9" s="47" t="s">
        <v>1312</v>
      </c>
      <c r="K9" s="34" t="s">
        <v>1343</v>
      </c>
      <c r="L9" s="34" t="s">
        <v>1344</v>
      </c>
    </row>
    <row r="10" customFormat="false" ht="30" hidden="false" customHeight="true" outlineLevel="0" collapsed="false">
      <c r="A10" s="40" t="s">
        <v>906</v>
      </c>
      <c r="B10" s="40" t="s">
        <v>911</v>
      </c>
      <c r="C10" s="40" t="s">
        <v>1345</v>
      </c>
      <c r="D10" s="40" t="s">
        <v>1346</v>
      </c>
      <c r="E10" s="40" t="s">
        <v>1347</v>
      </c>
      <c r="F10" s="40" t="s">
        <v>913</v>
      </c>
      <c r="G10" s="40" t="s">
        <v>1348</v>
      </c>
      <c r="H10" s="40" t="s">
        <v>1349</v>
      </c>
      <c r="I10" s="40" t="s">
        <v>1350</v>
      </c>
      <c r="J10" s="46" t="s">
        <v>1299</v>
      </c>
      <c r="K10" s="46" t="s">
        <v>1305</v>
      </c>
      <c r="L10" s="40" t="s">
        <v>1351</v>
      </c>
    </row>
    <row r="11" customFormat="false" ht="30" hidden="false" customHeight="true" outlineLevel="0" collapsed="false">
      <c r="A11" s="34" t="s">
        <v>906</v>
      </c>
      <c r="B11" s="34" t="s">
        <v>1352</v>
      </c>
      <c r="C11" s="34" t="s">
        <v>1345</v>
      </c>
      <c r="D11" s="34" t="s">
        <v>1346</v>
      </c>
      <c r="E11" s="34" t="s">
        <v>1347</v>
      </c>
      <c r="F11" s="34" t="s">
        <v>913</v>
      </c>
      <c r="G11" s="34" t="s">
        <v>1348</v>
      </c>
      <c r="H11" s="34" t="s">
        <v>1353</v>
      </c>
      <c r="I11" s="34" t="s">
        <v>1354</v>
      </c>
      <c r="J11" s="46" t="s">
        <v>1299</v>
      </c>
      <c r="K11" s="46" t="s">
        <v>1305</v>
      </c>
      <c r="L11" s="34" t="s">
        <v>1355</v>
      </c>
    </row>
    <row r="12" customFormat="false" ht="30" hidden="false" customHeight="true" outlineLevel="0" collapsed="false">
      <c r="A12" s="40" t="s">
        <v>906</v>
      </c>
      <c r="B12" s="40" t="s">
        <v>1356</v>
      </c>
      <c r="C12" s="40" t="s">
        <v>1357</v>
      </c>
      <c r="D12" s="40" t="s">
        <v>1358</v>
      </c>
      <c r="E12" s="40" t="s">
        <v>1347</v>
      </c>
      <c r="F12" s="40" t="s">
        <v>913</v>
      </c>
      <c r="G12" s="40" t="s">
        <v>1348</v>
      </c>
      <c r="H12" s="40" t="s">
        <v>1359</v>
      </c>
      <c r="I12" s="40" t="s">
        <v>1360</v>
      </c>
      <c r="J12" s="46" t="s">
        <v>1299</v>
      </c>
      <c r="K12" s="46" t="s">
        <v>1305</v>
      </c>
      <c r="L12" s="40" t="s">
        <v>1361</v>
      </c>
    </row>
    <row r="13" customFormat="false" ht="30" hidden="false" customHeight="true" outlineLevel="0" collapsed="false">
      <c r="A13" s="34" t="s">
        <v>906</v>
      </c>
      <c r="B13" s="34" t="s">
        <v>1362</v>
      </c>
      <c r="C13" s="34" t="s">
        <v>1363</v>
      </c>
      <c r="D13" s="34" t="s">
        <v>1364</v>
      </c>
      <c r="E13" s="34" t="s">
        <v>1365</v>
      </c>
      <c r="F13" s="34" t="s">
        <v>913</v>
      </c>
      <c r="G13" s="34" t="s">
        <v>1348</v>
      </c>
      <c r="H13" s="34" t="s">
        <v>1366</v>
      </c>
      <c r="I13" s="34" t="s">
        <v>1367</v>
      </c>
      <c r="J13" s="46" t="s">
        <v>1299</v>
      </c>
      <c r="K13" s="46" t="s">
        <v>1368</v>
      </c>
      <c r="L13" s="34" t="s">
        <v>1369</v>
      </c>
    </row>
    <row r="14" customFormat="false" ht="30" hidden="false" customHeight="true" outlineLevel="0" collapsed="false">
      <c r="A14" s="40" t="s">
        <v>906</v>
      </c>
      <c r="B14" s="40" t="s">
        <v>1370</v>
      </c>
      <c r="C14" s="40" t="s">
        <v>1371</v>
      </c>
      <c r="D14" s="40" t="s">
        <v>194</v>
      </c>
      <c r="E14" s="40" t="s">
        <v>194</v>
      </c>
      <c r="F14" s="40" t="s">
        <v>194</v>
      </c>
      <c r="G14" s="40" t="s">
        <v>194</v>
      </c>
      <c r="H14" s="40" t="s">
        <v>1372</v>
      </c>
      <c r="I14" s="40" t="s">
        <v>1373</v>
      </c>
      <c r="J14" s="47" t="s">
        <v>1312</v>
      </c>
      <c r="K14" s="40" t="s">
        <v>1374</v>
      </c>
      <c r="L14" s="40" t="s">
        <v>1375</v>
      </c>
    </row>
    <row r="15" customFormat="false" ht="30" hidden="false" customHeight="true" outlineLevel="0" collapsed="false">
      <c r="A15" s="34" t="s">
        <v>1013</v>
      </c>
      <c r="B15" s="34" t="s">
        <v>1376</v>
      </c>
      <c r="C15" s="34" t="s">
        <v>1377</v>
      </c>
      <c r="D15" s="34" t="s">
        <v>1378</v>
      </c>
      <c r="E15" s="34" t="s">
        <v>1365</v>
      </c>
      <c r="F15" s="34" t="s">
        <v>1019</v>
      </c>
      <c r="G15" s="34" t="s">
        <v>194</v>
      </c>
      <c r="H15" s="34" t="s">
        <v>1379</v>
      </c>
      <c r="I15" s="34" t="s">
        <v>1380</v>
      </c>
      <c r="J15" s="46" t="s">
        <v>1299</v>
      </c>
      <c r="K15" s="47" t="s">
        <v>1381</v>
      </c>
      <c r="L15" s="34" t="s">
        <v>1382</v>
      </c>
    </row>
    <row r="16" customFormat="false" ht="30" hidden="false" customHeight="true" outlineLevel="0" collapsed="false">
      <c r="A16" s="40" t="s">
        <v>1120</v>
      </c>
      <c r="B16" s="40" t="s">
        <v>1383</v>
      </c>
      <c r="C16" s="40" t="s">
        <v>1384</v>
      </c>
      <c r="D16" s="40" t="s">
        <v>1385</v>
      </c>
      <c r="E16" s="40" t="s">
        <v>1386</v>
      </c>
      <c r="F16" s="40" t="s">
        <v>194</v>
      </c>
      <c r="G16" s="40" t="s">
        <v>194</v>
      </c>
      <c r="H16" s="40" t="s">
        <v>1310</v>
      </c>
      <c r="I16" s="40" t="s">
        <v>1311</v>
      </c>
      <c r="J16" s="47" t="s">
        <v>1312</v>
      </c>
      <c r="K16" s="40" t="s">
        <v>1300</v>
      </c>
      <c r="L16" s="40" t="s">
        <v>1387</v>
      </c>
    </row>
    <row r="17" customFormat="false" ht="30" hidden="false" customHeight="true" outlineLevel="0" collapsed="false">
      <c r="A17" s="34" t="s">
        <v>1120</v>
      </c>
      <c r="B17" s="34" t="s">
        <v>1388</v>
      </c>
      <c r="C17" s="34" t="s">
        <v>1389</v>
      </c>
      <c r="D17" s="34" t="s">
        <v>1385</v>
      </c>
      <c r="E17" s="34" t="s">
        <v>1390</v>
      </c>
      <c r="F17" s="34" t="s">
        <v>194</v>
      </c>
      <c r="G17" s="34" t="s">
        <v>194</v>
      </c>
      <c r="H17" s="34" t="s">
        <v>1391</v>
      </c>
      <c r="I17" s="34" t="s">
        <v>1392</v>
      </c>
      <c r="J17" s="48" t="s">
        <v>1327</v>
      </c>
      <c r="K17" s="47" t="s">
        <v>1393</v>
      </c>
      <c r="L17" s="34" t="s">
        <v>1394</v>
      </c>
    </row>
    <row r="18" customFormat="false" ht="30" hidden="false" customHeight="true" outlineLevel="0" collapsed="false">
      <c r="A18" s="40" t="s">
        <v>1120</v>
      </c>
      <c r="B18" s="40" t="s">
        <v>1395</v>
      </c>
      <c r="C18" s="40" t="s">
        <v>1389</v>
      </c>
      <c r="D18" s="40" t="s">
        <v>1385</v>
      </c>
      <c r="E18" s="40" t="s">
        <v>1396</v>
      </c>
      <c r="F18" s="40" t="s">
        <v>194</v>
      </c>
      <c r="G18" s="40" t="s">
        <v>194</v>
      </c>
      <c r="H18" s="40" t="s">
        <v>1391</v>
      </c>
      <c r="I18" s="40" t="s">
        <v>1392</v>
      </c>
      <c r="J18" s="48" t="s">
        <v>1327</v>
      </c>
      <c r="K18" s="47" t="s">
        <v>1393</v>
      </c>
      <c r="L18" s="40" t="s">
        <v>1394</v>
      </c>
    </row>
    <row r="19" customFormat="false" ht="30" hidden="false" customHeight="true" outlineLevel="0" collapsed="false">
      <c r="A19" s="34" t="s">
        <v>1120</v>
      </c>
      <c r="B19" s="34" t="s">
        <v>1397</v>
      </c>
      <c r="C19" s="34" t="s">
        <v>1389</v>
      </c>
      <c r="D19" s="34" t="s">
        <v>1385</v>
      </c>
      <c r="E19" s="34" t="s">
        <v>1396</v>
      </c>
      <c r="F19" s="34" t="s">
        <v>194</v>
      </c>
      <c r="G19" s="34" t="s">
        <v>194</v>
      </c>
      <c r="H19" s="34" t="s">
        <v>1391</v>
      </c>
      <c r="I19" s="34" t="s">
        <v>1392</v>
      </c>
      <c r="J19" s="48" t="s">
        <v>1327</v>
      </c>
      <c r="K19" s="47" t="s">
        <v>1393</v>
      </c>
      <c r="L19" s="34" t="s">
        <v>1394</v>
      </c>
    </row>
    <row r="20" customFormat="false" ht="30" hidden="false" customHeight="true" outlineLevel="0" collapsed="false">
      <c r="A20" s="40" t="s">
        <v>1120</v>
      </c>
      <c r="B20" s="40" t="s">
        <v>1398</v>
      </c>
      <c r="C20" s="40" t="s">
        <v>1399</v>
      </c>
      <c r="D20" s="40" t="s">
        <v>1400</v>
      </c>
      <c r="E20" s="40" t="s">
        <v>1401</v>
      </c>
      <c r="F20" s="40" t="s">
        <v>194</v>
      </c>
      <c r="G20" s="40" t="s">
        <v>194</v>
      </c>
      <c r="H20" s="40" t="s">
        <v>1402</v>
      </c>
      <c r="I20" s="40" t="s">
        <v>1403</v>
      </c>
      <c r="J20" s="46" t="s">
        <v>1299</v>
      </c>
      <c r="K20" s="40" t="s">
        <v>1300</v>
      </c>
      <c r="L20" s="40" t="s">
        <v>1404</v>
      </c>
    </row>
    <row r="21" customFormat="false" ht="30" hidden="false" customHeight="true" outlineLevel="0" collapsed="false">
      <c r="A21" s="34" t="s">
        <v>1120</v>
      </c>
      <c r="B21" s="34" t="s">
        <v>1405</v>
      </c>
      <c r="C21" s="34" t="s">
        <v>1406</v>
      </c>
      <c r="D21" s="34" t="s">
        <v>1407</v>
      </c>
      <c r="E21" s="34" t="s">
        <v>1365</v>
      </c>
      <c r="F21" s="34" t="s">
        <v>194</v>
      </c>
      <c r="G21" s="34" t="s">
        <v>194</v>
      </c>
      <c r="H21" s="34" t="s">
        <v>1408</v>
      </c>
      <c r="I21" s="34" t="s">
        <v>1354</v>
      </c>
      <c r="J21" s="46" t="s">
        <v>1299</v>
      </c>
      <c r="K21" s="34" t="s">
        <v>1300</v>
      </c>
      <c r="L21" s="34" t="s">
        <v>1409</v>
      </c>
    </row>
    <row r="22" customFormat="false" ht="30" hidden="false" customHeight="true" outlineLevel="0" collapsed="false">
      <c r="A22" s="40" t="s">
        <v>1120</v>
      </c>
      <c r="B22" s="40" t="s">
        <v>1410</v>
      </c>
      <c r="C22" s="40" t="s">
        <v>1399</v>
      </c>
      <c r="D22" s="40" t="s">
        <v>1411</v>
      </c>
      <c r="E22" s="40" t="s">
        <v>1401</v>
      </c>
      <c r="F22" s="40" t="s">
        <v>194</v>
      </c>
      <c r="G22" s="40" t="s">
        <v>194</v>
      </c>
      <c r="H22" s="40" t="s">
        <v>1412</v>
      </c>
      <c r="I22" s="40" t="s">
        <v>1413</v>
      </c>
      <c r="J22" s="46" t="s">
        <v>1299</v>
      </c>
      <c r="K22" s="47" t="s">
        <v>1393</v>
      </c>
      <c r="L22" s="40" t="s">
        <v>1414</v>
      </c>
    </row>
    <row r="23" customFormat="false" ht="30" hidden="false" customHeight="true" outlineLevel="0" collapsed="false">
      <c r="A23" s="34" t="s">
        <v>824</v>
      </c>
      <c r="B23" s="34" t="s">
        <v>1415</v>
      </c>
      <c r="C23" s="34" t="s">
        <v>828</v>
      </c>
      <c r="D23" s="34" t="s">
        <v>829</v>
      </c>
      <c r="E23" s="34" t="s">
        <v>1416</v>
      </c>
      <c r="F23" s="34" t="s">
        <v>831</v>
      </c>
      <c r="G23" s="34" t="s">
        <v>1417</v>
      </c>
      <c r="H23" s="34" t="s">
        <v>842</v>
      </c>
      <c r="I23" s="34" t="s">
        <v>843</v>
      </c>
      <c r="J23" s="47" t="s">
        <v>1312</v>
      </c>
      <c r="K23" s="47" t="s">
        <v>1418</v>
      </c>
      <c r="L23" s="34" t="s">
        <v>1419</v>
      </c>
    </row>
    <row r="25" customFormat="false" ht="30" hidden="false" customHeight="true" outlineLevel="0" collapsed="false">
      <c r="A25" s="49" t="s">
        <v>1420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</row>
  </sheetData>
  <mergeCells count="2">
    <mergeCell ref="A1:L1"/>
    <mergeCell ref="A25:L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34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9"/>
    <col collapsed="false" customWidth="true" hidden="false" outlineLevel="0" max="14" min="14" style="0" width="28"/>
    <col collapsed="false" customWidth="true" hidden="false" outlineLevel="0" max="15" min="15" style="0" width="20"/>
    <col collapsed="false" customWidth="true" hidden="false" outlineLevel="0" max="17" min="16" style="0" width="13"/>
    <col collapsed="false" customWidth="true" hidden="false" outlineLevel="0" max="18" min="18" style="0" width="20"/>
    <col collapsed="false" customWidth="true" hidden="false" outlineLevel="0" max="19" min="19" style="0" width="22"/>
    <col collapsed="false" customWidth="true" hidden="false" outlineLevel="0" max="20" min="20" style="0" width="13"/>
    <col collapsed="false" customWidth="true" hidden="false" outlineLevel="0" max="21" min="21" style="0" width="11"/>
    <col collapsed="false" customWidth="true" hidden="false" outlineLevel="0" max="22" min="22" style="0" width="9"/>
    <col collapsed="false" customWidth="true" hidden="false" outlineLevel="0" max="23" min="23" style="0" width="40"/>
  </cols>
  <sheetData>
    <row r="1" customFormat="false" ht="21.75" hidden="false" customHeight="true" outlineLevel="0" collapsed="false">
      <c r="A1" s="31" t="s">
        <v>1421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customFormat="false" ht="19.4" hidden="false" customHeight="false" outlineLevel="0" collapsed="false">
      <c r="A2" s="32" t="s">
        <v>1422</v>
      </c>
      <c r="B2" s="32" t="s">
        <v>156</v>
      </c>
      <c r="C2" s="32" t="s">
        <v>154</v>
      </c>
      <c r="D2" s="32" t="s">
        <v>141</v>
      </c>
      <c r="E2" s="32" t="s">
        <v>144</v>
      </c>
      <c r="F2" s="32" t="s">
        <v>1286</v>
      </c>
      <c r="G2" s="32" t="s">
        <v>155</v>
      </c>
      <c r="H2" s="32" t="s">
        <v>158</v>
      </c>
      <c r="I2" s="32" t="s">
        <v>159</v>
      </c>
      <c r="J2" s="32" t="s">
        <v>157</v>
      </c>
      <c r="K2" s="32" t="s">
        <v>153</v>
      </c>
      <c r="L2" s="32" t="s">
        <v>183</v>
      </c>
      <c r="M2" s="32" t="s">
        <v>164</v>
      </c>
      <c r="N2" s="32" t="s">
        <v>165</v>
      </c>
      <c r="O2" s="32" t="s">
        <v>166</v>
      </c>
      <c r="P2" s="32" t="s">
        <v>167</v>
      </c>
      <c r="Q2" s="32" t="s">
        <v>168</v>
      </c>
      <c r="R2" s="32" t="s">
        <v>1423</v>
      </c>
      <c r="S2" s="32" t="s">
        <v>185</v>
      </c>
      <c r="T2" s="32" t="s">
        <v>1424</v>
      </c>
      <c r="U2" s="32" t="s">
        <v>1425</v>
      </c>
      <c r="V2" s="32" t="s">
        <v>188</v>
      </c>
      <c r="W2" s="32" t="s">
        <v>1426</v>
      </c>
    </row>
    <row r="3" customFormat="false" ht="30" hidden="false" customHeight="true" outlineLevel="0" collapsed="false">
      <c r="A3" s="33" t="s">
        <v>1427</v>
      </c>
      <c r="B3" s="34" t="s">
        <v>198</v>
      </c>
      <c r="C3" s="34" t="s">
        <v>197</v>
      </c>
      <c r="D3" s="33" t="s">
        <v>190</v>
      </c>
      <c r="E3" s="34" t="s">
        <v>192</v>
      </c>
      <c r="F3" s="34" t="s">
        <v>1428</v>
      </c>
      <c r="G3" s="33" t="s">
        <v>194</v>
      </c>
      <c r="H3" s="33" t="s">
        <v>201</v>
      </c>
      <c r="I3" s="33" t="s">
        <v>194</v>
      </c>
      <c r="J3" s="34" t="s">
        <v>199</v>
      </c>
      <c r="K3" s="33" t="s">
        <v>196</v>
      </c>
      <c r="L3" s="33" t="s">
        <v>209</v>
      </c>
      <c r="M3" s="33" t="s">
        <v>203</v>
      </c>
      <c r="N3" s="34" t="s">
        <v>204</v>
      </c>
      <c r="O3" s="34" t="s">
        <v>200</v>
      </c>
      <c r="P3" s="33" t="s">
        <v>108</v>
      </c>
      <c r="Q3" s="33" t="s">
        <v>205</v>
      </c>
      <c r="R3" s="34" t="s">
        <v>1429</v>
      </c>
      <c r="S3" s="33" t="s">
        <v>73</v>
      </c>
      <c r="T3" s="33" t="s">
        <v>99</v>
      </c>
      <c r="U3" s="33" t="s">
        <v>93</v>
      </c>
      <c r="V3" s="33" t="s">
        <v>84</v>
      </c>
      <c r="W3" s="34" t="s">
        <v>211</v>
      </c>
    </row>
    <row r="4" customFormat="false" ht="30" hidden="false" customHeight="true" outlineLevel="0" collapsed="false">
      <c r="A4" s="39" t="s">
        <v>1430</v>
      </c>
      <c r="B4" s="40" t="s">
        <v>216</v>
      </c>
      <c r="C4" s="40" t="s">
        <v>215</v>
      </c>
      <c r="D4" s="39" t="s">
        <v>190</v>
      </c>
      <c r="E4" s="40" t="s">
        <v>192</v>
      </c>
      <c r="F4" s="40" t="s">
        <v>1428</v>
      </c>
      <c r="G4" s="39" t="s">
        <v>194</v>
      </c>
      <c r="H4" s="39" t="s">
        <v>201</v>
      </c>
      <c r="I4" s="39" t="s">
        <v>194</v>
      </c>
      <c r="J4" s="40" t="s">
        <v>217</v>
      </c>
      <c r="K4" s="39" t="s">
        <v>214</v>
      </c>
      <c r="L4" s="39" t="s">
        <v>194</v>
      </c>
      <c r="M4" s="39" t="s">
        <v>203</v>
      </c>
      <c r="N4" s="40" t="s">
        <v>219</v>
      </c>
      <c r="O4" s="40" t="s">
        <v>200</v>
      </c>
      <c r="P4" s="39" t="s">
        <v>108</v>
      </c>
      <c r="Q4" s="39" t="s">
        <v>220</v>
      </c>
      <c r="R4" s="40" t="s">
        <v>1429</v>
      </c>
      <c r="S4" s="39" t="s">
        <v>75</v>
      </c>
      <c r="T4" s="39" t="s">
        <v>99</v>
      </c>
      <c r="U4" s="39" t="s">
        <v>93</v>
      </c>
      <c r="V4" s="39" t="s">
        <v>84</v>
      </c>
      <c r="W4" s="40" t="s">
        <v>222</v>
      </c>
    </row>
    <row r="5" customFormat="false" ht="30" hidden="false" customHeight="true" outlineLevel="0" collapsed="false">
      <c r="A5" s="33" t="s">
        <v>1431</v>
      </c>
      <c r="B5" s="34" t="s">
        <v>225</v>
      </c>
      <c r="C5" s="34" t="s">
        <v>224</v>
      </c>
      <c r="D5" s="33" t="s">
        <v>190</v>
      </c>
      <c r="E5" s="34" t="s">
        <v>192</v>
      </c>
      <c r="F5" s="34" t="s">
        <v>1428</v>
      </c>
      <c r="G5" s="33" t="s">
        <v>194</v>
      </c>
      <c r="H5" s="33" t="s">
        <v>201</v>
      </c>
      <c r="I5" s="33" t="s">
        <v>194</v>
      </c>
      <c r="J5" s="34" t="s">
        <v>226</v>
      </c>
      <c r="K5" s="33" t="s">
        <v>214</v>
      </c>
      <c r="L5" s="33" t="s">
        <v>194</v>
      </c>
      <c r="M5" s="33" t="s">
        <v>203</v>
      </c>
      <c r="N5" s="34" t="s">
        <v>228</v>
      </c>
      <c r="O5" s="34" t="s">
        <v>200</v>
      </c>
      <c r="P5" s="33" t="s">
        <v>108</v>
      </c>
      <c r="Q5" s="33" t="s">
        <v>229</v>
      </c>
      <c r="R5" s="34" t="s">
        <v>1429</v>
      </c>
      <c r="S5" s="33" t="s">
        <v>75</v>
      </c>
      <c r="T5" s="33" t="s">
        <v>99</v>
      </c>
      <c r="U5" s="33" t="s">
        <v>95</v>
      </c>
      <c r="V5" s="33" t="s">
        <v>86</v>
      </c>
      <c r="W5" s="34"/>
    </row>
    <row r="6" customFormat="false" ht="30" hidden="false" customHeight="true" outlineLevel="0" collapsed="false">
      <c r="A6" s="39" t="s">
        <v>1432</v>
      </c>
      <c r="B6" s="40" t="s">
        <v>232</v>
      </c>
      <c r="C6" s="40" t="s">
        <v>231</v>
      </c>
      <c r="D6" s="39" t="s">
        <v>190</v>
      </c>
      <c r="E6" s="40" t="s">
        <v>192</v>
      </c>
      <c r="F6" s="40" t="s">
        <v>1428</v>
      </c>
      <c r="G6" s="39" t="s">
        <v>194</v>
      </c>
      <c r="H6" s="39" t="s">
        <v>201</v>
      </c>
      <c r="I6" s="39" t="s">
        <v>194</v>
      </c>
      <c r="J6" s="40" t="s">
        <v>233</v>
      </c>
      <c r="K6" s="39" t="s">
        <v>196</v>
      </c>
      <c r="L6" s="39" t="s">
        <v>209</v>
      </c>
      <c r="M6" s="39" t="s">
        <v>203</v>
      </c>
      <c r="N6" s="40" t="s">
        <v>234</v>
      </c>
      <c r="O6" s="40" t="s">
        <v>200</v>
      </c>
      <c r="P6" s="39" t="s">
        <v>108</v>
      </c>
      <c r="Q6" s="39" t="s">
        <v>205</v>
      </c>
      <c r="R6" s="40" t="s">
        <v>1429</v>
      </c>
      <c r="S6" s="39" t="s">
        <v>73</v>
      </c>
      <c r="T6" s="39" t="s">
        <v>99</v>
      </c>
      <c r="U6" s="39" t="s">
        <v>95</v>
      </c>
      <c r="V6" s="39" t="s">
        <v>86</v>
      </c>
      <c r="W6" s="40" t="s">
        <v>235</v>
      </c>
    </row>
    <row r="7" customFormat="false" ht="30" hidden="false" customHeight="true" outlineLevel="0" collapsed="false">
      <c r="A7" s="33" t="s">
        <v>1433</v>
      </c>
      <c r="B7" s="34" t="s">
        <v>237</v>
      </c>
      <c r="C7" s="34" t="s">
        <v>236</v>
      </c>
      <c r="D7" s="33" t="s">
        <v>190</v>
      </c>
      <c r="E7" s="34" t="s">
        <v>192</v>
      </c>
      <c r="F7" s="34" t="s">
        <v>1428</v>
      </c>
      <c r="G7" s="33" t="s">
        <v>194</v>
      </c>
      <c r="H7" s="33" t="s">
        <v>201</v>
      </c>
      <c r="I7" s="33" t="s">
        <v>194</v>
      </c>
      <c r="J7" s="34" t="s">
        <v>238</v>
      </c>
      <c r="K7" s="33" t="s">
        <v>214</v>
      </c>
      <c r="L7" s="33" t="s">
        <v>194</v>
      </c>
      <c r="M7" s="33" t="s">
        <v>203</v>
      </c>
      <c r="N7" s="34" t="s">
        <v>240</v>
      </c>
      <c r="O7" s="34" t="s">
        <v>241</v>
      </c>
      <c r="P7" s="33" t="s">
        <v>108</v>
      </c>
      <c r="Q7" s="33" t="s">
        <v>229</v>
      </c>
      <c r="R7" s="34" t="s">
        <v>1429</v>
      </c>
      <c r="S7" s="33" t="s">
        <v>75</v>
      </c>
      <c r="T7" s="33" t="s">
        <v>99</v>
      </c>
      <c r="U7" s="33" t="s">
        <v>93</v>
      </c>
      <c r="V7" s="33" t="s">
        <v>84</v>
      </c>
      <c r="W7" s="34"/>
    </row>
    <row r="8" customFormat="false" ht="30" hidden="false" customHeight="true" outlineLevel="0" collapsed="false">
      <c r="A8" s="39" t="s">
        <v>1434</v>
      </c>
      <c r="B8" s="40" t="s">
        <v>244</v>
      </c>
      <c r="C8" s="40" t="s">
        <v>243</v>
      </c>
      <c r="D8" s="39" t="s">
        <v>190</v>
      </c>
      <c r="E8" s="40" t="s">
        <v>192</v>
      </c>
      <c r="F8" s="40" t="s">
        <v>1428</v>
      </c>
      <c r="G8" s="39" t="s">
        <v>194</v>
      </c>
      <c r="H8" s="39" t="s">
        <v>201</v>
      </c>
      <c r="I8" s="39" t="s">
        <v>194</v>
      </c>
      <c r="J8" s="40" t="s">
        <v>245</v>
      </c>
      <c r="K8" s="39" t="s">
        <v>214</v>
      </c>
      <c r="L8" s="39" t="s">
        <v>194</v>
      </c>
      <c r="M8" s="39" t="s">
        <v>203</v>
      </c>
      <c r="N8" s="40" t="s">
        <v>246</v>
      </c>
      <c r="O8" s="40" t="s">
        <v>247</v>
      </c>
      <c r="P8" s="39" t="s">
        <v>108</v>
      </c>
      <c r="Q8" s="39" t="s">
        <v>229</v>
      </c>
      <c r="R8" s="40" t="s">
        <v>1429</v>
      </c>
      <c r="S8" s="39" t="s">
        <v>75</v>
      </c>
      <c r="T8" s="39" t="s">
        <v>103</v>
      </c>
      <c r="U8" s="39" t="s">
        <v>97</v>
      </c>
      <c r="V8" s="39" t="s">
        <v>88</v>
      </c>
      <c r="W8" s="40" t="s">
        <v>248</v>
      </c>
    </row>
    <row r="9" customFormat="false" ht="30" hidden="false" customHeight="true" outlineLevel="0" collapsed="false">
      <c r="A9" s="33" t="s">
        <v>1435</v>
      </c>
      <c r="B9" s="34" t="s">
        <v>251</v>
      </c>
      <c r="C9" s="34" t="s">
        <v>250</v>
      </c>
      <c r="D9" s="33" t="s">
        <v>190</v>
      </c>
      <c r="E9" s="34" t="s">
        <v>192</v>
      </c>
      <c r="F9" s="34" t="s">
        <v>1428</v>
      </c>
      <c r="G9" s="33" t="s">
        <v>194</v>
      </c>
      <c r="H9" s="33" t="s">
        <v>201</v>
      </c>
      <c r="I9" s="33" t="s">
        <v>194</v>
      </c>
      <c r="J9" s="34" t="s">
        <v>252</v>
      </c>
      <c r="K9" s="33" t="s">
        <v>214</v>
      </c>
      <c r="L9" s="33" t="s">
        <v>194</v>
      </c>
      <c r="M9" s="33" t="s">
        <v>203</v>
      </c>
      <c r="N9" s="34" t="s">
        <v>253</v>
      </c>
      <c r="O9" s="34" t="s">
        <v>200</v>
      </c>
      <c r="P9" s="33" t="s">
        <v>108</v>
      </c>
      <c r="Q9" s="33" t="s">
        <v>254</v>
      </c>
      <c r="R9" s="34" t="s">
        <v>1429</v>
      </c>
      <c r="S9" s="33" t="s">
        <v>75</v>
      </c>
      <c r="T9" s="33" t="s">
        <v>99</v>
      </c>
      <c r="U9" s="33" t="s">
        <v>95</v>
      </c>
      <c r="V9" s="33" t="s">
        <v>86</v>
      </c>
      <c r="W9" s="34" t="s">
        <v>255</v>
      </c>
    </row>
    <row r="10" customFormat="false" ht="30" hidden="false" customHeight="true" outlineLevel="0" collapsed="false">
      <c r="A10" s="39" t="s">
        <v>1436</v>
      </c>
      <c r="B10" s="40" t="s">
        <v>258</v>
      </c>
      <c r="C10" s="40" t="s">
        <v>257</v>
      </c>
      <c r="D10" s="39" t="s">
        <v>190</v>
      </c>
      <c r="E10" s="40" t="s">
        <v>192</v>
      </c>
      <c r="F10" s="40" t="s">
        <v>1428</v>
      </c>
      <c r="G10" s="39" t="s">
        <v>194</v>
      </c>
      <c r="H10" s="39" t="s">
        <v>201</v>
      </c>
      <c r="I10" s="39" t="s">
        <v>194</v>
      </c>
      <c r="J10" s="40" t="s">
        <v>259</v>
      </c>
      <c r="K10" s="39" t="s">
        <v>214</v>
      </c>
      <c r="L10" s="39" t="s">
        <v>194</v>
      </c>
      <c r="M10" s="39" t="s">
        <v>203</v>
      </c>
      <c r="N10" s="40" t="s">
        <v>261</v>
      </c>
      <c r="O10" s="40" t="s">
        <v>200</v>
      </c>
      <c r="P10" s="39" t="s">
        <v>108</v>
      </c>
      <c r="Q10" s="39" t="s">
        <v>262</v>
      </c>
      <c r="R10" s="40" t="s">
        <v>1429</v>
      </c>
      <c r="S10" s="39" t="s">
        <v>75</v>
      </c>
      <c r="T10" s="39" t="s">
        <v>99</v>
      </c>
      <c r="U10" s="39" t="s">
        <v>95</v>
      </c>
      <c r="V10" s="39" t="s">
        <v>86</v>
      </c>
      <c r="W10" s="40" t="s">
        <v>263</v>
      </c>
    </row>
    <row r="11" customFormat="false" ht="30" hidden="false" customHeight="true" outlineLevel="0" collapsed="false">
      <c r="A11" s="33" t="s">
        <v>1437</v>
      </c>
      <c r="B11" s="34" t="s">
        <v>276</v>
      </c>
      <c r="C11" s="34" t="s">
        <v>274</v>
      </c>
      <c r="D11" s="33" t="s">
        <v>265</v>
      </c>
      <c r="E11" s="34" t="s">
        <v>267</v>
      </c>
      <c r="F11" s="34" t="s">
        <v>1438</v>
      </c>
      <c r="G11" s="33" t="s">
        <v>275</v>
      </c>
      <c r="H11" s="33" t="s">
        <v>279</v>
      </c>
      <c r="I11" s="33" t="s">
        <v>280</v>
      </c>
      <c r="J11" s="34" t="s">
        <v>277</v>
      </c>
      <c r="K11" s="33" t="s">
        <v>273</v>
      </c>
      <c r="L11" s="33" t="s">
        <v>287</v>
      </c>
      <c r="M11" s="33" t="s">
        <v>203</v>
      </c>
      <c r="N11" s="34" t="s">
        <v>284</v>
      </c>
      <c r="O11" s="34" t="s">
        <v>285</v>
      </c>
      <c r="P11" s="33" t="s">
        <v>106</v>
      </c>
      <c r="Q11" s="33" t="s">
        <v>286</v>
      </c>
      <c r="R11" s="34" t="s">
        <v>1429</v>
      </c>
      <c r="S11" s="33" t="s">
        <v>67</v>
      </c>
      <c r="T11" s="33" t="s">
        <v>81</v>
      </c>
      <c r="U11" s="33" t="s">
        <v>95</v>
      </c>
      <c r="V11" s="33" t="s">
        <v>86</v>
      </c>
      <c r="W11" s="34" t="s">
        <v>289</v>
      </c>
    </row>
    <row r="12" customFormat="false" ht="30" hidden="false" customHeight="true" outlineLevel="0" collapsed="false">
      <c r="A12" s="39" t="s">
        <v>1439</v>
      </c>
      <c r="B12" s="40" t="s">
        <v>293</v>
      </c>
      <c r="C12" s="40" t="s">
        <v>292</v>
      </c>
      <c r="D12" s="39" t="s">
        <v>265</v>
      </c>
      <c r="E12" s="40" t="s">
        <v>267</v>
      </c>
      <c r="F12" s="40" t="s">
        <v>1438</v>
      </c>
      <c r="G12" s="39" t="s">
        <v>275</v>
      </c>
      <c r="H12" s="39" t="s">
        <v>279</v>
      </c>
      <c r="I12" s="39" t="s">
        <v>296</v>
      </c>
      <c r="J12" s="40" t="s">
        <v>294</v>
      </c>
      <c r="K12" s="39" t="s">
        <v>273</v>
      </c>
      <c r="L12" s="39" t="s">
        <v>287</v>
      </c>
      <c r="M12" s="39" t="s">
        <v>203</v>
      </c>
      <c r="N12" s="40" t="s">
        <v>299</v>
      </c>
      <c r="O12" s="40" t="s">
        <v>300</v>
      </c>
      <c r="P12" s="39" t="s">
        <v>106</v>
      </c>
      <c r="Q12" s="39" t="s">
        <v>286</v>
      </c>
      <c r="R12" s="40" t="s">
        <v>1429</v>
      </c>
      <c r="S12" s="39" t="s">
        <v>67</v>
      </c>
      <c r="T12" s="39" t="s">
        <v>81</v>
      </c>
      <c r="U12" s="39" t="s">
        <v>95</v>
      </c>
      <c r="V12" s="39" t="s">
        <v>86</v>
      </c>
      <c r="W12" s="40" t="s">
        <v>301</v>
      </c>
    </row>
    <row r="13" customFormat="false" ht="30" hidden="false" customHeight="true" outlineLevel="0" collapsed="false">
      <c r="A13" s="33" t="s">
        <v>1440</v>
      </c>
      <c r="B13" s="34" t="s">
        <v>303</v>
      </c>
      <c r="C13" s="34" t="s">
        <v>302</v>
      </c>
      <c r="D13" s="33" t="s">
        <v>265</v>
      </c>
      <c r="E13" s="34" t="s">
        <v>267</v>
      </c>
      <c r="F13" s="34" t="s">
        <v>1438</v>
      </c>
      <c r="G13" s="33" t="s">
        <v>275</v>
      </c>
      <c r="H13" s="33" t="s">
        <v>279</v>
      </c>
      <c r="I13" s="33" t="s">
        <v>296</v>
      </c>
      <c r="J13" s="34" t="s">
        <v>304</v>
      </c>
      <c r="K13" s="33" t="s">
        <v>273</v>
      </c>
      <c r="L13" s="33" t="s">
        <v>287</v>
      </c>
      <c r="M13" s="33" t="s">
        <v>203</v>
      </c>
      <c r="N13" s="34" t="s">
        <v>299</v>
      </c>
      <c r="O13" s="34" t="s">
        <v>300</v>
      </c>
      <c r="P13" s="33" t="s">
        <v>106</v>
      </c>
      <c r="Q13" s="33" t="s">
        <v>286</v>
      </c>
      <c r="R13" s="34" t="s">
        <v>1429</v>
      </c>
      <c r="S13" s="33" t="s">
        <v>67</v>
      </c>
      <c r="T13" s="33" t="s">
        <v>81</v>
      </c>
      <c r="U13" s="33" t="s">
        <v>95</v>
      </c>
      <c r="V13" s="33" t="s">
        <v>86</v>
      </c>
      <c r="W13" s="34" t="s">
        <v>305</v>
      </c>
    </row>
    <row r="14" customFormat="false" ht="30" hidden="false" customHeight="true" outlineLevel="0" collapsed="false">
      <c r="A14" s="39" t="s">
        <v>1441</v>
      </c>
      <c r="B14" s="40" t="s">
        <v>308</v>
      </c>
      <c r="C14" s="40" t="s">
        <v>307</v>
      </c>
      <c r="D14" s="39" t="s">
        <v>265</v>
      </c>
      <c r="E14" s="40" t="s">
        <v>267</v>
      </c>
      <c r="F14" s="40" t="s">
        <v>1438</v>
      </c>
      <c r="G14" s="39" t="s">
        <v>275</v>
      </c>
      <c r="H14" s="39" t="s">
        <v>279</v>
      </c>
      <c r="I14" s="39" t="s">
        <v>296</v>
      </c>
      <c r="J14" s="40" t="s">
        <v>309</v>
      </c>
      <c r="K14" s="39" t="s">
        <v>273</v>
      </c>
      <c r="L14" s="39" t="s">
        <v>287</v>
      </c>
      <c r="M14" s="39" t="s">
        <v>203</v>
      </c>
      <c r="N14" s="40" t="s">
        <v>311</v>
      </c>
      <c r="O14" s="40" t="s">
        <v>300</v>
      </c>
      <c r="P14" s="39" t="s">
        <v>106</v>
      </c>
      <c r="Q14" s="39" t="s">
        <v>286</v>
      </c>
      <c r="R14" s="40" t="s">
        <v>1429</v>
      </c>
      <c r="S14" s="39" t="s">
        <v>67</v>
      </c>
      <c r="T14" s="39" t="s">
        <v>81</v>
      </c>
      <c r="U14" s="39" t="s">
        <v>97</v>
      </c>
      <c r="V14" s="39" t="s">
        <v>88</v>
      </c>
      <c r="W14" s="40" t="s">
        <v>312</v>
      </c>
    </row>
    <row r="15" customFormat="false" ht="30" hidden="false" customHeight="true" outlineLevel="0" collapsed="false">
      <c r="A15" s="33" t="s">
        <v>1442</v>
      </c>
      <c r="B15" s="34" t="s">
        <v>315</v>
      </c>
      <c r="C15" s="34" t="s">
        <v>314</v>
      </c>
      <c r="D15" s="33" t="s">
        <v>265</v>
      </c>
      <c r="E15" s="34" t="s">
        <v>267</v>
      </c>
      <c r="F15" s="34" t="s">
        <v>1438</v>
      </c>
      <c r="G15" s="33" t="s">
        <v>275</v>
      </c>
      <c r="H15" s="33" t="s">
        <v>279</v>
      </c>
      <c r="I15" s="33" t="s">
        <v>296</v>
      </c>
      <c r="J15" s="34" t="s">
        <v>316</v>
      </c>
      <c r="K15" s="33" t="s">
        <v>273</v>
      </c>
      <c r="L15" s="33" t="s">
        <v>287</v>
      </c>
      <c r="M15" s="33" t="s">
        <v>203</v>
      </c>
      <c r="N15" s="34" t="s">
        <v>317</v>
      </c>
      <c r="O15" s="34" t="s">
        <v>300</v>
      </c>
      <c r="P15" s="33" t="s">
        <v>106</v>
      </c>
      <c r="Q15" s="33" t="s">
        <v>286</v>
      </c>
      <c r="R15" s="34" t="s">
        <v>1429</v>
      </c>
      <c r="S15" s="33" t="s">
        <v>67</v>
      </c>
      <c r="T15" s="33" t="s">
        <v>81</v>
      </c>
      <c r="U15" s="33" t="s">
        <v>97</v>
      </c>
      <c r="V15" s="33" t="s">
        <v>88</v>
      </c>
      <c r="W15" s="34"/>
    </row>
    <row r="16" customFormat="false" ht="30" hidden="false" customHeight="true" outlineLevel="0" collapsed="false">
      <c r="A16" s="39" t="s">
        <v>1443</v>
      </c>
      <c r="B16" s="40" t="s">
        <v>320</v>
      </c>
      <c r="C16" s="40" t="s">
        <v>319</v>
      </c>
      <c r="D16" s="39" t="s">
        <v>265</v>
      </c>
      <c r="E16" s="40" t="s">
        <v>267</v>
      </c>
      <c r="F16" s="40" t="s">
        <v>1438</v>
      </c>
      <c r="G16" s="39" t="s">
        <v>275</v>
      </c>
      <c r="H16" s="39" t="s">
        <v>279</v>
      </c>
      <c r="I16" s="39" t="s">
        <v>322</v>
      </c>
      <c r="J16" s="40" t="s">
        <v>321</v>
      </c>
      <c r="K16" s="39" t="s">
        <v>273</v>
      </c>
      <c r="L16" s="39" t="s">
        <v>287</v>
      </c>
      <c r="M16" s="39" t="s">
        <v>203</v>
      </c>
      <c r="N16" s="40" t="s">
        <v>323</v>
      </c>
      <c r="O16" s="40" t="s">
        <v>324</v>
      </c>
      <c r="P16" s="39" t="s">
        <v>106</v>
      </c>
      <c r="Q16" s="39" t="s">
        <v>286</v>
      </c>
      <c r="R16" s="40" t="s">
        <v>1429</v>
      </c>
      <c r="S16" s="39" t="s">
        <v>67</v>
      </c>
      <c r="T16" s="39" t="s">
        <v>81</v>
      </c>
      <c r="U16" s="39" t="s">
        <v>95</v>
      </c>
      <c r="V16" s="39" t="s">
        <v>86</v>
      </c>
      <c r="W16" s="40" t="s">
        <v>325</v>
      </c>
    </row>
    <row r="17" customFormat="false" ht="30" hidden="false" customHeight="true" outlineLevel="0" collapsed="false">
      <c r="A17" s="33" t="s">
        <v>1444</v>
      </c>
      <c r="B17" s="34" t="s">
        <v>328</v>
      </c>
      <c r="C17" s="34" t="s">
        <v>327</v>
      </c>
      <c r="D17" s="33" t="s">
        <v>265</v>
      </c>
      <c r="E17" s="34" t="s">
        <v>267</v>
      </c>
      <c r="F17" s="34" t="s">
        <v>1438</v>
      </c>
      <c r="G17" s="33" t="s">
        <v>275</v>
      </c>
      <c r="H17" s="33" t="s">
        <v>331</v>
      </c>
      <c r="I17" s="33" t="s">
        <v>332</v>
      </c>
      <c r="J17" s="34" t="s">
        <v>329</v>
      </c>
      <c r="K17" s="33" t="s">
        <v>273</v>
      </c>
      <c r="L17" s="33" t="s">
        <v>287</v>
      </c>
      <c r="M17" s="33" t="s">
        <v>97</v>
      </c>
      <c r="N17" s="34" t="s">
        <v>334</v>
      </c>
      <c r="O17" s="34" t="s">
        <v>180</v>
      </c>
      <c r="P17" s="33" t="s">
        <v>108</v>
      </c>
      <c r="Q17" s="33" t="s">
        <v>335</v>
      </c>
      <c r="R17" s="34" t="s">
        <v>1429</v>
      </c>
      <c r="S17" s="33" t="s">
        <v>67</v>
      </c>
      <c r="T17" s="33" t="s">
        <v>81</v>
      </c>
      <c r="U17" s="33" t="s">
        <v>97</v>
      </c>
      <c r="V17" s="33" t="s">
        <v>90</v>
      </c>
      <c r="W17" s="34"/>
    </row>
    <row r="18" customFormat="false" ht="30" hidden="false" customHeight="true" outlineLevel="0" collapsed="false">
      <c r="A18" s="39" t="s">
        <v>1445</v>
      </c>
      <c r="B18" s="40" t="s">
        <v>337</v>
      </c>
      <c r="C18" s="40" t="s">
        <v>336</v>
      </c>
      <c r="D18" s="39" t="s">
        <v>265</v>
      </c>
      <c r="E18" s="40" t="s">
        <v>267</v>
      </c>
      <c r="F18" s="40" t="s">
        <v>1438</v>
      </c>
      <c r="G18" s="39" t="s">
        <v>275</v>
      </c>
      <c r="H18" s="39" t="s">
        <v>339</v>
      </c>
      <c r="I18" s="39" t="s">
        <v>194</v>
      </c>
      <c r="J18" s="40" t="s">
        <v>338</v>
      </c>
      <c r="K18" s="39" t="s">
        <v>273</v>
      </c>
      <c r="L18" s="39" t="s">
        <v>287</v>
      </c>
      <c r="M18" s="39" t="s">
        <v>97</v>
      </c>
      <c r="N18" s="40" t="s">
        <v>340</v>
      </c>
      <c r="O18" s="40" t="s">
        <v>330</v>
      </c>
      <c r="P18" s="39" t="s">
        <v>108</v>
      </c>
      <c r="Q18" s="39" t="s">
        <v>335</v>
      </c>
      <c r="R18" s="40" t="s">
        <v>1429</v>
      </c>
      <c r="S18" s="39" t="s">
        <v>67</v>
      </c>
      <c r="T18" s="39" t="s">
        <v>81</v>
      </c>
      <c r="U18" s="39" t="s">
        <v>97</v>
      </c>
      <c r="V18" s="39" t="s">
        <v>90</v>
      </c>
      <c r="W18" s="40"/>
    </row>
    <row r="19" customFormat="false" ht="30" hidden="false" customHeight="true" outlineLevel="0" collapsed="false">
      <c r="A19" s="33" t="s">
        <v>1446</v>
      </c>
      <c r="B19" s="34" t="s">
        <v>344</v>
      </c>
      <c r="C19" s="34" t="s">
        <v>343</v>
      </c>
      <c r="D19" s="33" t="s">
        <v>265</v>
      </c>
      <c r="E19" s="34" t="s">
        <v>267</v>
      </c>
      <c r="F19" s="34" t="s">
        <v>1428</v>
      </c>
      <c r="G19" s="33" t="s">
        <v>194</v>
      </c>
      <c r="H19" s="33" t="s">
        <v>279</v>
      </c>
      <c r="I19" s="33" t="s">
        <v>322</v>
      </c>
      <c r="J19" s="34" t="s">
        <v>345</v>
      </c>
      <c r="K19" s="33" t="s">
        <v>196</v>
      </c>
      <c r="L19" s="33" t="s">
        <v>209</v>
      </c>
      <c r="M19" s="33" t="s">
        <v>203</v>
      </c>
      <c r="N19" s="34" t="s">
        <v>347</v>
      </c>
      <c r="O19" s="34" t="s">
        <v>348</v>
      </c>
      <c r="P19" s="33" t="s">
        <v>108</v>
      </c>
      <c r="Q19" s="33" t="s">
        <v>205</v>
      </c>
      <c r="R19" s="34" t="s">
        <v>1429</v>
      </c>
      <c r="S19" s="33" t="s">
        <v>73</v>
      </c>
      <c r="T19" s="33" t="s">
        <v>81</v>
      </c>
      <c r="U19" s="33" t="s">
        <v>95</v>
      </c>
      <c r="V19" s="33" t="s">
        <v>86</v>
      </c>
      <c r="W19" s="34" t="s">
        <v>349</v>
      </c>
    </row>
    <row r="20" customFormat="false" ht="30" hidden="false" customHeight="true" outlineLevel="0" collapsed="false">
      <c r="A20" s="39" t="s">
        <v>1447</v>
      </c>
      <c r="B20" s="40" t="s">
        <v>351</v>
      </c>
      <c r="C20" s="40" t="s">
        <v>350</v>
      </c>
      <c r="D20" s="39" t="s">
        <v>265</v>
      </c>
      <c r="E20" s="40" t="s">
        <v>267</v>
      </c>
      <c r="F20" s="40" t="s">
        <v>1428</v>
      </c>
      <c r="G20" s="39" t="s">
        <v>194</v>
      </c>
      <c r="H20" s="39" t="s">
        <v>201</v>
      </c>
      <c r="I20" s="39" t="s">
        <v>194</v>
      </c>
      <c r="J20" s="40" t="s">
        <v>352</v>
      </c>
      <c r="K20" s="39" t="s">
        <v>196</v>
      </c>
      <c r="L20" s="39" t="s">
        <v>209</v>
      </c>
      <c r="M20" s="39" t="s">
        <v>203</v>
      </c>
      <c r="N20" s="40" t="s">
        <v>354</v>
      </c>
      <c r="O20" s="40" t="s">
        <v>348</v>
      </c>
      <c r="P20" s="39" t="s">
        <v>108</v>
      </c>
      <c r="Q20" s="39" t="s">
        <v>205</v>
      </c>
      <c r="R20" s="40" t="s">
        <v>1429</v>
      </c>
      <c r="S20" s="39" t="s">
        <v>73</v>
      </c>
      <c r="T20" s="39" t="s">
        <v>81</v>
      </c>
      <c r="U20" s="39" t="s">
        <v>95</v>
      </c>
      <c r="V20" s="39" t="s">
        <v>86</v>
      </c>
      <c r="W20" s="40" t="s">
        <v>355</v>
      </c>
    </row>
    <row r="21" customFormat="false" ht="30" hidden="false" customHeight="true" outlineLevel="0" collapsed="false">
      <c r="A21" s="33" t="s">
        <v>1448</v>
      </c>
      <c r="B21" s="34" t="s">
        <v>365</v>
      </c>
      <c r="C21" s="34" t="s">
        <v>364</v>
      </c>
      <c r="D21" s="33" t="s">
        <v>357</v>
      </c>
      <c r="E21" s="34" t="s">
        <v>358</v>
      </c>
      <c r="F21" s="34" t="s">
        <v>1449</v>
      </c>
      <c r="G21" s="33" t="s">
        <v>275</v>
      </c>
      <c r="H21" s="33" t="s">
        <v>279</v>
      </c>
      <c r="I21" s="33" t="s">
        <v>280</v>
      </c>
      <c r="J21" s="34" t="s">
        <v>366</v>
      </c>
      <c r="K21" s="33" t="s">
        <v>363</v>
      </c>
      <c r="L21" s="33" t="s">
        <v>287</v>
      </c>
      <c r="M21" s="33" t="s">
        <v>203</v>
      </c>
      <c r="N21" s="34" t="s">
        <v>367</v>
      </c>
      <c r="O21" s="34" t="s">
        <v>285</v>
      </c>
      <c r="P21" s="33" t="s">
        <v>106</v>
      </c>
      <c r="Q21" s="33" t="s">
        <v>286</v>
      </c>
      <c r="R21" s="34" t="s">
        <v>1429</v>
      </c>
      <c r="S21" s="33" t="s">
        <v>67</v>
      </c>
      <c r="T21" s="33" t="s">
        <v>81</v>
      </c>
      <c r="U21" s="33" t="s">
        <v>95</v>
      </c>
      <c r="V21" s="33" t="s">
        <v>86</v>
      </c>
      <c r="W21" s="34" t="s">
        <v>368</v>
      </c>
    </row>
    <row r="22" customFormat="false" ht="30" hidden="false" customHeight="true" outlineLevel="0" collapsed="false">
      <c r="A22" s="39" t="s">
        <v>1450</v>
      </c>
      <c r="B22" s="40" t="s">
        <v>371</v>
      </c>
      <c r="C22" s="40" t="s">
        <v>370</v>
      </c>
      <c r="D22" s="39" t="s">
        <v>357</v>
      </c>
      <c r="E22" s="40" t="s">
        <v>358</v>
      </c>
      <c r="F22" s="40" t="s">
        <v>1449</v>
      </c>
      <c r="G22" s="39" t="s">
        <v>275</v>
      </c>
      <c r="H22" s="39" t="s">
        <v>279</v>
      </c>
      <c r="I22" s="39" t="s">
        <v>322</v>
      </c>
      <c r="J22" s="40" t="s">
        <v>372</v>
      </c>
      <c r="K22" s="39" t="s">
        <v>363</v>
      </c>
      <c r="L22" s="39" t="s">
        <v>287</v>
      </c>
      <c r="M22" s="39" t="s">
        <v>97</v>
      </c>
      <c r="N22" s="40" t="s">
        <v>373</v>
      </c>
      <c r="O22" s="40" t="s">
        <v>300</v>
      </c>
      <c r="P22" s="39" t="s">
        <v>106</v>
      </c>
      <c r="Q22" s="39" t="s">
        <v>286</v>
      </c>
      <c r="R22" s="40" t="s">
        <v>1429</v>
      </c>
      <c r="S22" s="39" t="s">
        <v>67</v>
      </c>
      <c r="T22" s="39" t="s">
        <v>81</v>
      </c>
      <c r="U22" s="39" t="s">
        <v>97</v>
      </c>
      <c r="V22" s="39" t="s">
        <v>88</v>
      </c>
      <c r="W22" s="40"/>
    </row>
    <row r="23" customFormat="false" ht="30" hidden="false" customHeight="true" outlineLevel="0" collapsed="false">
      <c r="A23" s="33" t="s">
        <v>1451</v>
      </c>
      <c r="B23" s="34" t="s">
        <v>376</v>
      </c>
      <c r="C23" s="34" t="s">
        <v>375</v>
      </c>
      <c r="D23" s="33" t="s">
        <v>357</v>
      </c>
      <c r="E23" s="34" t="s">
        <v>358</v>
      </c>
      <c r="F23" s="34" t="s">
        <v>1449</v>
      </c>
      <c r="G23" s="33" t="s">
        <v>275</v>
      </c>
      <c r="H23" s="33" t="s">
        <v>279</v>
      </c>
      <c r="I23" s="33" t="s">
        <v>378</v>
      </c>
      <c r="J23" s="34" t="s">
        <v>377</v>
      </c>
      <c r="K23" s="33" t="s">
        <v>363</v>
      </c>
      <c r="L23" s="33" t="s">
        <v>287</v>
      </c>
      <c r="M23" s="33" t="s">
        <v>203</v>
      </c>
      <c r="N23" s="34" t="s">
        <v>379</v>
      </c>
      <c r="O23" s="34" t="s">
        <v>300</v>
      </c>
      <c r="P23" s="33" t="s">
        <v>106</v>
      </c>
      <c r="Q23" s="33" t="s">
        <v>286</v>
      </c>
      <c r="R23" s="34" t="s">
        <v>1429</v>
      </c>
      <c r="S23" s="33" t="s">
        <v>67</v>
      </c>
      <c r="T23" s="33" t="s">
        <v>81</v>
      </c>
      <c r="U23" s="33" t="s">
        <v>95</v>
      </c>
      <c r="V23" s="33" t="s">
        <v>88</v>
      </c>
      <c r="W23" s="34"/>
    </row>
    <row r="24" customFormat="false" ht="30" hidden="false" customHeight="true" outlineLevel="0" collapsed="false">
      <c r="A24" s="39" t="s">
        <v>1452</v>
      </c>
      <c r="B24" s="40" t="s">
        <v>382</v>
      </c>
      <c r="C24" s="40" t="s">
        <v>381</v>
      </c>
      <c r="D24" s="39" t="s">
        <v>357</v>
      </c>
      <c r="E24" s="40" t="s">
        <v>358</v>
      </c>
      <c r="F24" s="40" t="s">
        <v>1449</v>
      </c>
      <c r="G24" s="39" t="s">
        <v>275</v>
      </c>
      <c r="H24" s="39" t="s">
        <v>279</v>
      </c>
      <c r="I24" s="39" t="s">
        <v>384</v>
      </c>
      <c r="J24" s="40" t="s">
        <v>383</v>
      </c>
      <c r="K24" s="39" t="s">
        <v>363</v>
      </c>
      <c r="L24" s="39" t="s">
        <v>287</v>
      </c>
      <c r="M24" s="39" t="s">
        <v>203</v>
      </c>
      <c r="N24" s="40" t="s">
        <v>387</v>
      </c>
      <c r="O24" s="40" t="s">
        <v>348</v>
      </c>
      <c r="P24" s="39" t="s">
        <v>108</v>
      </c>
      <c r="Q24" s="39" t="s">
        <v>220</v>
      </c>
      <c r="R24" s="40" t="s">
        <v>1429</v>
      </c>
      <c r="S24" s="39" t="s">
        <v>67</v>
      </c>
      <c r="T24" s="39" t="s">
        <v>81</v>
      </c>
      <c r="U24" s="39" t="s">
        <v>95</v>
      </c>
      <c r="V24" s="39" t="s">
        <v>86</v>
      </c>
      <c r="W24" s="40" t="s">
        <v>388</v>
      </c>
    </row>
    <row r="25" customFormat="false" ht="30" hidden="false" customHeight="true" outlineLevel="0" collapsed="false">
      <c r="A25" s="33" t="s">
        <v>1453</v>
      </c>
      <c r="B25" s="34" t="s">
        <v>391</v>
      </c>
      <c r="C25" s="34" t="s">
        <v>390</v>
      </c>
      <c r="D25" s="33" t="s">
        <v>357</v>
      </c>
      <c r="E25" s="34" t="s">
        <v>358</v>
      </c>
      <c r="F25" s="34" t="s">
        <v>1449</v>
      </c>
      <c r="G25" s="33" t="s">
        <v>275</v>
      </c>
      <c r="H25" s="33" t="s">
        <v>279</v>
      </c>
      <c r="I25" s="33" t="s">
        <v>394</v>
      </c>
      <c r="J25" s="34" t="s">
        <v>392</v>
      </c>
      <c r="K25" s="33" t="s">
        <v>363</v>
      </c>
      <c r="L25" s="33" t="s">
        <v>287</v>
      </c>
      <c r="M25" s="33" t="s">
        <v>97</v>
      </c>
      <c r="N25" s="34" t="s">
        <v>395</v>
      </c>
      <c r="O25" s="34" t="s">
        <v>180</v>
      </c>
      <c r="P25" s="33" t="s">
        <v>106</v>
      </c>
      <c r="Q25" s="33" t="s">
        <v>286</v>
      </c>
      <c r="R25" s="34" t="s">
        <v>1429</v>
      </c>
      <c r="S25" s="33" t="s">
        <v>67</v>
      </c>
      <c r="T25" s="33" t="s">
        <v>81</v>
      </c>
      <c r="U25" s="33" t="s">
        <v>97</v>
      </c>
      <c r="V25" s="33" t="s">
        <v>88</v>
      </c>
      <c r="W25" s="34"/>
    </row>
    <row r="26" customFormat="false" ht="30" hidden="false" customHeight="true" outlineLevel="0" collapsed="false">
      <c r="A26" s="39" t="s">
        <v>1454</v>
      </c>
      <c r="B26" s="40" t="s">
        <v>397</v>
      </c>
      <c r="C26" s="40" t="s">
        <v>396</v>
      </c>
      <c r="D26" s="39" t="s">
        <v>357</v>
      </c>
      <c r="E26" s="40" t="s">
        <v>358</v>
      </c>
      <c r="F26" s="40" t="s">
        <v>1449</v>
      </c>
      <c r="G26" s="39" t="s">
        <v>275</v>
      </c>
      <c r="H26" s="39" t="s">
        <v>279</v>
      </c>
      <c r="I26" s="39" t="s">
        <v>394</v>
      </c>
      <c r="J26" s="40" t="s">
        <v>398</v>
      </c>
      <c r="K26" s="39" t="s">
        <v>363</v>
      </c>
      <c r="L26" s="39" t="s">
        <v>287</v>
      </c>
      <c r="M26" s="39" t="s">
        <v>97</v>
      </c>
      <c r="N26" s="40" t="s">
        <v>399</v>
      </c>
      <c r="O26" s="40" t="s">
        <v>180</v>
      </c>
      <c r="P26" s="39" t="s">
        <v>106</v>
      </c>
      <c r="Q26" s="39" t="s">
        <v>286</v>
      </c>
      <c r="R26" s="40" t="s">
        <v>1429</v>
      </c>
      <c r="S26" s="39" t="s">
        <v>67</v>
      </c>
      <c r="T26" s="39" t="s">
        <v>81</v>
      </c>
      <c r="U26" s="39" t="s">
        <v>97</v>
      </c>
      <c r="V26" s="39" t="s">
        <v>90</v>
      </c>
      <c r="W26" s="40"/>
    </row>
    <row r="27" customFormat="false" ht="30" hidden="false" customHeight="true" outlineLevel="0" collapsed="false">
      <c r="A27" s="33" t="s">
        <v>1455</v>
      </c>
      <c r="B27" s="34" t="s">
        <v>401</v>
      </c>
      <c r="C27" s="34" t="s">
        <v>400</v>
      </c>
      <c r="D27" s="33" t="s">
        <v>357</v>
      </c>
      <c r="E27" s="34" t="s">
        <v>358</v>
      </c>
      <c r="F27" s="34" t="s">
        <v>1449</v>
      </c>
      <c r="G27" s="33" t="s">
        <v>275</v>
      </c>
      <c r="H27" s="33" t="s">
        <v>279</v>
      </c>
      <c r="I27" s="33" t="s">
        <v>394</v>
      </c>
      <c r="J27" s="34" t="s">
        <v>402</v>
      </c>
      <c r="K27" s="33" t="s">
        <v>363</v>
      </c>
      <c r="L27" s="33" t="s">
        <v>287</v>
      </c>
      <c r="M27" s="33" t="s">
        <v>97</v>
      </c>
      <c r="N27" s="34" t="s">
        <v>399</v>
      </c>
      <c r="O27" s="34" t="s">
        <v>180</v>
      </c>
      <c r="P27" s="33" t="s">
        <v>106</v>
      </c>
      <c r="Q27" s="33" t="s">
        <v>286</v>
      </c>
      <c r="R27" s="34" t="s">
        <v>1429</v>
      </c>
      <c r="S27" s="33" t="s">
        <v>67</v>
      </c>
      <c r="T27" s="33" t="s">
        <v>81</v>
      </c>
      <c r="U27" s="33" t="s">
        <v>97</v>
      </c>
      <c r="V27" s="33" t="s">
        <v>90</v>
      </c>
      <c r="W27" s="34"/>
    </row>
    <row r="28" customFormat="false" ht="30" hidden="false" customHeight="true" outlineLevel="0" collapsed="false">
      <c r="A28" s="39" t="s">
        <v>1456</v>
      </c>
      <c r="B28" s="40" t="s">
        <v>405</v>
      </c>
      <c r="C28" s="40" t="s">
        <v>404</v>
      </c>
      <c r="D28" s="39" t="s">
        <v>357</v>
      </c>
      <c r="E28" s="40" t="s">
        <v>358</v>
      </c>
      <c r="F28" s="40" t="s">
        <v>1449</v>
      </c>
      <c r="G28" s="39" t="s">
        <v>275</v>
      </c>
      <c r="H28" s="39" t="s">
        <v>331</v>
      </c>
      <c r="I28" s="39" t="s">
        <v>332</v>
      </c>
      <c r="J28" s="40" t="s">
        <v>406</v>
      </c>
      <c r="K28" s="39" t="s">
        <v>363</v>
      </c>
      <c r="L28" s="39" t="s">
        <v>287</v>
      </c>
      <c r="M28" s="39" t="s">
        <v>97</v>
      </c>
      <c r="N28" s="40" t="s">
        <v>409</v>
      </c>
      <c r="O28" s="40" t="s">
        <v>410</v>
      </c>
      <c r="P28" s="39" t="s">
        <v>108</v>
      </c>
      <c r="Q28" s="39" t="s">
        <v>335</v>
      </c>
      <c r="R28" s="40" t="s">
        <v>1429</v>
      </c>
      <c r="S28" s="39" t="s">
        <v>67</v>
      </c>
      <c r="T28" s="39" t="s">
        <v>81</v>
      </c>
      <c r="U28" s="39" t="s">
        <v>97</v>
      </c>
      <c r="V28" s="39" t="s">
        <v>88</v>
      </c>
      <c r="W28" s="40"/>
    </row>
    <row r="29" customFormat="false" ht="30" hidden="false" customHeight="true" outlineLevel="0" collapsed="false">
      <c r="A29" s="33" t="s">
        <v>1457</v>
      </c>
      <c r="B29" s="34" t="s">
        <v>412</v>
      </c>
      <c r="C29" s="34" t="s">
        <v>411</v>
      </c>
      <c r="D29" s="33" t="s">
        <v>357</v>
      </c>
      <c r="E29" s="34" t="s">
        <v>358</v>
      </c>
      <c r="F29" s="34" t="s">
        <v>1449</v>
      </c>
      <c r="G29" s="33" t="s">
        <v>275</v>
      </c>
      <c r="H29" s="33" t="s">
        <v>331</v>
      </c>
      <c r="I29" s="33" t="s">
        <v>332</v>
      </c>
      <c r="J29" s="34" t="s">
        <v>413</v>
      </c>
      <c r="K29" s="33" t="s">
        <v>363</v>
      </c>
      <c r="L29" s="33" t="s">
        <v>287</v>
      </c>
      <c r="M29" s="33" t="s">
        <v>97</v>
      </c>
      <c r="N29" s="34" t="s">
        <v>415</v>
      </c>
      <c r="O29" s="34" t="s">
        <v>176</v>
      </c>
      <c r="P29" s="33" t="s">
        <v>108</v>
      </c>
      <c r="Q29" s="33" t="s">
        <v>335</v>
      </c>
      <c r="R29" s="34" t="s">
        <v>1429</v>
      </c>
      <c r="S29" s="33" t="s">
        <v>67</v>
      </c>
      <c r="T29" s="33" t="s">
        <v>81</v>
      </c>
      <c r="U29" s="33" t="s">
        <v>97</v>
      </c>
      <c r="V29" s="33" t="s">
        <v>90</v>
      </c>
      <c r="W29" s="34"/>
    </row>
    <row r="30" customFormat="false" ht="30" hidden="false" customHeight="true" outlineLevel="0" collapsed="false">
      <c r="A30" s="39" t="s">
        <v>1458</v>
      </c>
      <c r="B30" s="40" t="s">
        <v>251</v>
      </c>
      <c r="C30" s="40" t="s">
        <v>250</v>
      </c>
      <c r="D30" s="39" t="s">
        <v>357</v>
      </c>
      <c r="E30" s="40" t="s">
        <v>358</v>
      </c>
      <c r="F30" s="40" t="s">
        <v>1428</v>
      </c>
      <c r="G30" s="39" t="s">
        <v>194</v>
      </c>
      <c r="H30" s="39" t="s">
        <v>201</v>
      </c>
      <c r="I30" s="39" t="s">
        <v>194</v>
      </c>
      <c r="J30" s="40" t="s">
        <v>417</v>
      </c>
      <c r="K30" s="39" t="s">
        <v>214</v>
      </c>
      <c r="L30" s="39" t="s">
        <v>194</v>
      </c>
      <c r="M30" s="39" t="s">
        <v>203</v>
      </c>
      <c r="N30" s="40" t="s">
        <v>418</v>
      </c>
      <c r="O30" s="40" t="s">
        <v>419</v>
      </c>
      <c r="P30" s="39" t="s">
        <v>108</v>
      </c>
      <c r="Q30" s="39" t="s">
        <v>254</v>
      </c>
      <c r="R30" s="40" t="s">
        <v>1429</v>
      </c>
      <c r="S30" s="39" t="s">
        <v>75</v>
      </c>
      <c r="T30" s="39" t="s">
        <v>99</v>
      </c>
      <c r="U30" s="39" t="s">
        <v>95</v>
      </c>
      <c r="V30" s="39" t="s">
        <v>86</v>
      </c>
      <c r="W30" s="40" t="s">
        <v>420</v>
      </c>
    </row>
    <row r="31" customFormat="false" ht="30" hidden="false" customHeight="true" outlineLevel="0" collapsed="false">
      <c r="A31" s="33" t="s">
        <v>1459</v>
      </c>
      <c r="B31" s="34" t="s">
        <v>422</v>
      </c>
      <c r="C31" s="34" t="s">
        <v>421</v>
      </c>
      <c r="D31" s="33" t="s">
        <v>357</v>
      </c>
      <c r="E31" s="34" t="s">
        <v>358</v>
      </c>
      <c r="F31" s="34" t="s">
        <v>1428</v>
      </c>
      <c r="G31" s="33" t="s">
        <v>194</v>
      </c>
      <c r="H31" s="33" t="s">
        <v>279</v>
      </c>
      <c r="I31" s="33" t="s">
        <v>322</v>
      </c>
      <c r="J31" s="34" t="s">
        <v>423</v>
      </c>
      <c r="K31" s="33" t="s">
        <v>214</v>
      </c>
      <c r="L31" s="33" t="s">
        <v>194</v>
      </c>
      <c r="M31" s="33" t="s">
        <v>203</v>
      </c>
      <c r="N31" s="34" t="s">
        <v>426</v>
      </c>
      <c r="O31" s="34" t="s">
        <v>179</v>
      </c>
      <c r="P31" s="33" t="s">
        <v>110</v>
      </c>
      <c r="Q31" s="33" t="s">
        <v>254</v>
      </c>
      <c r="R31" s="34" t="s">
        <v>1429</v>
      </c>
      <c r="S31" s="33" t="s">
        <v>75</v>
      </c>
      <c r="T31" s="33" t="s">
        <v>81</v>
      </c>
      <c r="U31" s="33" t="s">
        <v>95</v>
      </c>
      <c r="V31" s="33" t="s">
        <v>86</v>
      </c>
      <c r="W31" s="34" t="s">
        <v>427</v>
      </c>
    </row>
    <row r="32" customFormat="false" ht="30" hidden="false" customHeight="true" outlineLevel="0" collapsed="false">
      <c r="A32" s="39" t="s">
        <v>1460</v>
      </c>
      <c r="B32" s="40" t="s">
        <v>429</v>
      </c>
      <c r="C32" s="40" t="s">
        <v>428</v>
      </c>
      <c r="D32" s="39" t="s">
        <v>357</v>
      </c>
      <c r="E32" s="40" t="s">
        <v>358</v>
      </c>
      <c r="F32" s="40" t="s">
        <v>1428</v>
      </c>
      <c r="G32" s="39" t="s">
        <v>194</v>
      </c>
      <c r="H32" s="39" t="s">
        <v>279</v>
      </c>
      <c r="I32" s="39" t="s">
        <v>322</v>
      </c>
      <c r="J32" s="40" t="s">
        <v>430</v>
      </c>
      <c r="K32" s="39" t="s">
        <v>214</v>
      </c>
      <c r="L32" s="39" t="s">
        <v>194</v>
      </c>
      <c r="M32" s="39" t="s">
        <v>203</v>
      </c>
      <c r="N32" s="40" t="s">
        <v>432</v>
      </c>
      <c r="O32" s="40" t="s">
        <v>179</v>
      </c>
      <c r="P32" s="39" t="s">
        <v>110</v>
      </c>
      <c r="Q32" s="39" t="s">
        <v>254</v>
      </c>
      <c r="R32" s="40" t="s">
        <v>1429</v>
      </c>
      <c r="S32" s="39" t="s">
        <v>75</v>
      </c>
      <c r="T32" s="39" t="s">
        <v>81</v>
      </c>
      <c r="U32" s="39" t="s">
        <v>95</v>
      </c>
      <c r="V32" s="39" t="s">
        <v>86</v>
      </c>
      <c r="W32" s="40" t="s">
        <v>433</v>
      </c>
    </row>
    <row r="33" customFormat="false" ht="30" hidden="false" customHeight="true" outlineLevel="0" collapsed="false">
      <c r="A33" s="33" t="s">
        <v>1461</v>
      </c>
      <c r="B33" s="34" t="s">
        <v>435</v>
      </c>
      <c r="C33" s="34" t="s">
        <v>434</v>
      </c>
      <c r="D33" s="33" t="s">
        <v>357</v>
      </c>
      <c r="E33" s="34" t="s">
        <v>358</v>
      </c>
      <c r="F33" s="34" t="s">
        <v>1428</v>
      </c>
      <c r="G33" s="33" t="s">
        <v>194</v>
      </c>
      <c r="H33" s="33" t="s">
        <v>201</v>
      </c>
      <c r="I33" s="33" t="s">
        <v>194</v>
      </c>
      <c r="J33" s="34" t="s">
        <v>436</v>
      </c>
      <c r="K33" s="33" t="s">
        <v>214</v>
      </c>
      <c r="L33" s="33" t="s">
        <v>194</v>
      </c>
      <c r="M33" s="33" t="s">
        <v>203</v>
      </c>
      <c r="N33" s="34" t="s">
        <v>438</v>
      </c>
      <c r="O33" s="34" t="s">
        <v>179</v>
      </c>
      <c r="P33" s="33" t="s">
        <v>110</v>
      </c>
      <c r="Q33" s="33" t="s">
        <v>254</v>
      </c>
      <c r="R33" s="34" t="s">
        <v>1429</v>
      </c>
      <c r="S33" s="33" t="s">
        <v>75</v>
      </c>
      <c r="T33" s="33" t="s">
        <v>81</v>
      </c>
      <c r="U33" s="33" t="s">
        <v>97</v>
      </c>
      <c r="V33" s="33" t="s">
        <v>88</v>
      </c>
      <c r="W33" s="34"/>
    </row>
    <row r="34" customFormat="false" ht="30" hidden="false" customHeight="true" outlineLevel="0" collapsed="false">
      <c r="A34" s="39" t="s">
        <v>1462</v>
      </c>
      <c r="B34" s="40" t="s">
        <v>446</v>
      </c>
      <c r="C34" s="40" t="s">
        <v>445</v>
      </c>
      <c r="D34" s="39" t="s">
        <v>440</v>
      </c>
      <c r="E34" s="40" t="s">
        <v>442</v>
      </c>
      <c r="F34" s="40" t="s">
        <v>1463</v>
      </c>
      <c r="G34" s="39" t="s">
        <v>275</v>
      </c>
      <c r="H34" s="39" t="s">
        <v>279</v>
      </c>
      <c r="I34" s="39" t="s">
        <v>448</v>
      </c>
      <c r="J34" s="40" t="s">
        <v>447</v>
      </c>
      <c r="K34" s="39" t="s">
        <v>363</v>
      </c>
      <c r="L34" s="39" t="s">
        <v>81</v>
      </c>
      <c r="M34" s="39" t="s">
        <v>203</v>
      </c>
      <c r="N34" s="40" t="s">
        <v>450</v>
      </c>
      <c r="O34" s="40" t="s">
        <v>451</v>
      </c>
      <c r="P34" s="39" t="s">
        <v>106</v>
      </c>
      <c r="Q34" s="39" t="s">
        <v>286</v>
      </c>
      <c r="R34" s="40" t="s">
        <v>1429</v>
      </c>
      <c r="S34" s="39" t="s">
        <v>81</v>
      </c>
      <c r="T34" s="39" t="s">
        <v>103</v>
      </c>
      <c r="U34" s="39" t="s">
        <v>95</v>
      </c>
      <c r="V34" s="39" t="s">
        <v>88</v>
      </c>
      <c r="W34" s="40" t="s">
        <v>452</v>
      </c>
    </row>
    <row r="35" customFormat="false" ht="30" hidden="false" customHeight="true" outlineLevel="0" collapsed="false">
      <c r="A35" s="33" t="s">
        <v>1464</v>
      </c>
      <c r="B35" s="34" t="s">
        <v>454</v>
      </c>
      <c r="C35" s="34" t="s">
        <v>453</v>
      </c>
      <c r="D35" s="33" t="s">
        <v>440</v>
      </c>
      <c r="E35" s="34" t="s">
        <v>442</v>
      </c>
      <c r="F35" s="34" t="s">
        <v>1463</v>
      </c>
      <c r="G35" s="33" t="s">
        <v>275</v>
      </c>
      <c r="H35" s="33" t="s">
        <v>279</v>
      </c>
      <c r="I35" s="33" t="s">
        <v>280</v>
      </c>
      <c r="J35" s="34" t="s">
        <v>455</v>
      </c>
      <c r="K35" s="33" t="s">
        <v>363</v>
      </c>
      <c r="L35" s="33" t="s">
        <v>81</v>
      </c>
      <c r="M35" s="33" t="s">
        <v>97</v>
      </c>
      <c r="N35" s="34" t="s">
        <v>456</v>
      </c>
      <c r="O35" s="34" t="s">
        <v>300</v>
      </c>
      <c r="P35" s="33" t="s">
        <v>106</v>
      </c>
      <c r="Q35" s="33" t="s">
        <v>286</v>
      </c>
      <c r="R35" s="34" t="s">
        <v>1429</v>
      </c>
      <c r="S35" s="33" t="s">
        <v>81</v>
      </c>
      <c r="T35" s="33" t="s">
        <v>103</v>
      </c>
      <c r="U35" s="33" t="s">
        <v>97</v>
      </c>
      <c r="V35" s="33" t="s">
        <v>90</v>
      </c>
      <c r="W35" s="34"/>
    </row>
    <row r="36" customFormat="false" ht="30" hidden="false" customHeight="true" outlineLevel="0" collapsed="false">
      <c r="A36" s="39" t="s">
        <v>1465</v>
      </c>
      <c r="B36" s="40" t="s">
        <v>458</v>
      </c>
      <c r="C36" s="40" t="s">
        <v>457</v>
      </c>
      <c r="D36" s="39" t="s">
        <v>440</v>
      </c>
      <c r="E36" s="40" t="s">
        <v>442</v>
      </c>
      <c r="F36" s="40" t="s">
        <v>1463</v>
      </c>
      <c r="G36" s="39" t="s">
        <v>275</v>
      </c>
      <c r="H36" s="39" t="s">
        <v>279</v>
      </c>
      <c r="I36" s="39" t="s">
        <v>280</v>
      </c>
      <c r="J36" s="40" t="s">
        <v>459</v>
      </c>
      <c r="K36" s="39" t="s">
        <v>363</v>
      </c>
      <c r="L36" s="39" t="s">
        <v>81</v>
      </c>
      <c r="M36" s="39" t="s">
        <v>97</v>
      </c>
      <c r="N36" s="40" t="s">
        <v>456</v>
      </c>
      <c r="O36" s="40" t="s">
        <v>300</v>
      </c>
      <c r="P36" s="39" t="s">
        <v>106</v>
      </c>
      <c r="Q36" s="39" t="s">
        <v>286</v>
      </c>
      <c r="R36" s="40" t="s">
        <v>1429</v>
      </c>
      <c r="S36" s="39" t="s">
        <v>81</v>
      </c>
      <c r="T36" s="39" t="s">
        <v>103</v>
      </c>
      <c r="U36" s="39" t="s">
        <v>97</v>
      </c>
      <c r="V36" s="39" t="s">
        <v>90</v>
      </c>
      <c r="W36" s="40"/>
    </row>
    <row r="37" customFormat="false" ht="30" hidden="false" customHeight="true" outlineLevel="0" collapsed="false">
      <c r="A37" s="33" t="s">
        <v>1466</v>
      </c>
      <c r="B37" s="34" t="s">
        <v>461</v>
      </c>
      <c r="C37" s="34" t="s">
        <v>460</v>
      </c>
      <c r="D37" s="33" t="s">
        <v>440</v>
      </c>
      <c r="E37" s="34" t="s">
        <v>442</v>
      </c>
      <c r="F37" s="34" t="s">
        <v>1463</v>
      </c>
      <c r="G37" s="33" t="s">
        <v>275</v>
      </c>
      <c r="H37" s="33" t="s">
        <v>331</v>
      </c>
      <c r="I37" s="33" t="s">
        <v>332</v>
      </c>
      <c r="J37" s="34" t="s">
        <v>462</v>
      </c>
      <c r="K37" s="33" t="s">
        <v>363</v>
      </c>
      <c r="L37" s="33" t="s">
        <v>81</v>
      </c>
      <c r="M37" s="33" t="s">
        <v>97</v>
      </c>
      <c r="N37" s="34" t="s">
        <v>464</v>
      </c>
      <c r="O37" s="34" t="s">
        <v>176</v>
      </c>
      <c r="P37" s="33" t="s">
        <v>108</v>
      </c>
      <c r="Q37" s="33" t="s">
        <v>335</v>
      </c>
      <c r="R37" s="34" t="s">
        <v>1429</v>
      </c>
      <c r="S37" s="33" t="s">
        <v>81</v>
      </c>
      <c r="T37" s="33" t="s">
        <v>103</v>
      </c>
      <c r="U37" s="33" t="s">
        <v>97</v>
      </c>
      <c r="V37" s="33" t="s">
        <v>90</v>
      </c>
      <c r="W37" s="34"/>
    </row>
    <row r="38" customFormat="false" ht="30" hidden="false" customHeight="true" outlineLevel="0" collapsed="false">
      <c r="A38" s="39" t="s">
        <v>1467</v>
      </c>
      <c r="B38" s="40" t="s">
        <v>466</v>
      </c>
      <c r="C38" s="40" t="s">
        <v>465</v>
      </c>
      <c r="D38" s="39" t="s">
        <v>440</v>
      </c>
      <c r="E38" s="40" t="s">
        <v>442</v>
      </c>
      <c r="F38" s="40" t="s">
        <v>1463</v>
      </c>
      <c r="G38" s="39" t="s">
        <v>275</v>
      </c>
      <c r="H38" s="39" t="s">
        <v>331</v>
      </c>
      <c r="I38" s="39" t="s">
        <v>332</v>
      </c>
      <c r="J38" s="40" t="s">
        <v>467</v>
      </c>
      <c r="K38" s="39" t="s">
        <v>363</v>
      </c>
      <c r="L38" s="39" t="s">
        <v>81</v>
      </c>
      <c r="M38" s="39" t="s">
        <v>97</v>
      </c>
      <c r="N38" s="40" t="s">
        <v>469</v>
      </c>
      <c r="O38" s="40" t="s">
        <v>410</v>
      </c>
      <c r="P38" s="39" t="s">
        <v>108</v>
      </c>
      <c r="Q38" s="39" t="s">
        <v>335</v>
      </c>
      <c r="R38" s="40" t="s">
        <v>1429</v>
      </c>
      <c r="S38" s="39" t="s">
        <v>81</v>
      </c>
      <c r="T38" s="39" t="s">
        <v>103</v>
      </c>
      <c r="U38" s="39" t="s">
        <v>97</v>
      </c>
      <c r="V38" s="39" t="s">
        <v>90</v>
      </c>
      <c r="W38" s="40" t="s">
        <v>470</v>
      </c>
    </row>
    <row r="39" customFormat="false" ht="30" hidden="false" customHeight="true" outlineLevel="0" collapsed="false">
      <c r="A39" s="33" t="s">
        <v>1468</v>
      </c>
      <c r="B39" s="34" t="s">
        <v>482</v>
      </c>
      <c r="C39" s="34" t="s">
        <v>481</v>
      </c>
      <c r="D39" s="33" t="s">
        <v>472</v>
      </c>
      <c r="E39" s="34" t="s">
        <v>474</v>
      </c>
      <c r="F39" s="34" t="s">
        <v>1469</v>
      </c>
      <c r="G39" s="33" t="s">
        <v>275</v>
      </c>
      <c r="H39" s="33" t="s">
        <v>279</v>
      </c>
      <c r="I39" s="33" t="s">
        <v>280</v>
      </c>
      <c r="J39" s="34" t="s">
        <v>483</v>
      </c>
      <c r="K39" s="33" t="s">
        <v>480</v>
      </c>
      <c r="L39" s="33" t="s">
        <v>486</v>
      </c>
      <c r="M39" s="33" t="s">
        <v>203</v>
      </c>
      <c r="N39" s="34" t="s">
        <v>485</v>
      </c>
      <c r="O39" s="34" t="s">
        <v>285</v>
      </c>
      <c r="P39" s="33" t="s">
        <v>106</v>
      </c>
      <c r="Q39" s="33" t="s">
        <v>286</v>
      </c>
      <c r="R39" s="34" t="s">
        <v>1429</v>
      </c>
      <c r="S39" s="33" t="s">
        <v>69</v>
      </c>
      <c r="T39" s="33" t="s">
        <v>81</v>
      </c>
      <c r="U39" s="33" t="s">
        <v>93</v>
      </c>
      <c r="V39" s="33" t="s">
        <v>84</v>
      </c>
      <c r="W39" s="34" t="s">
        <v>488</v>
      </c>
    </row>
    <row r="40" customFormat="false" ht="30" hidden="false" customHeight="true" outlineLevel="0" collapsed="false">
      <c r="A40" s="39" t="s">
        <v>1470</v>
      </c>
      <c r="B40" s="40" t="s">
        <v>490</v>
      </c>
      <c r="C40" s="40" t="s">
        <v>489</v>
      </c>
      <c r="D40" s="39" t="s">
        <v>472</v>
      </c>
      <c r="E40" s="40" t="s">
        <v>474</v>
      </c>
      <c r="F40" s="40" t="s">
        <v>1469</v>
      </c>
      <c r="G40" s="39" t="s">
        <v>275</v>
      </c>
      <c r="H40" s="39" t="s">
        <v>279</v>
      </c>
      <c r="I40" s="39" t="s">
        <v>492</v>
      </c>
      <c r="J40" s="40" t="s">
        <v>491</v>
      </c>
      <c r="K40" s="39" t="s">
        <v>480</v>
      </c>
      <c r="L40" s="39" t="s">
        <v>486</v>
      </c>
      <c r="M40" s="39" t="s">
        <v>97</v>
      </c>
      <c r="N40" s="40" t="s">
        <v>493</v>
      </c>
      <c r="O40" s="40" t="s">
        <v>300</v>
      </c>
      <c r="P40" s="39" t="s">
        <v>106</v>
      </c>
      <c r="Q40" s="39" t="s">
        <v>286</v>
      </c>
      <c r="R40" s="40" t="s">
        <v>1429</v>
      </c>
      <c r="S40" s="39" t="s">
        <v>69</v>
      </c>
      <c r="T40" s="39" t="s">
        <v>81</v>
      </c>
      <c r="U40" s="39" t="s">
        <v>97</v>
      </c>
      <c r="V40" s="39" t="s">
        <v>88</v>
      </c>
      <c r="W40" s="40" t="s">
        <v>494</v>
      </c>
    </row>
    <row r="41" customFormat="false" ht="30" hidden="false" customHeight="true" outlineLevel="0" collapsed="false">
      <c r="A41" s="33" t="s">
        <v>1471</v>
      </c>
      <c r="B41" s="34" t="s">
        <v>496</v>
      </c>
      <c r="C41" s="34" t="s">
        <v>495</v>
      </c>
      <c r="D41" s="33" t="s">
        <v>472</v>
      </c>
      <c r="E41" s="34" t="s">
        <v>474</v>
      </c>
      <c r="F41" s="34" t="s">
        <v>1469</v>
      </c>
      <c r="G41" s="33" t="s">
        <v>275</v>
      </c>
      <c r="H41" s="33" t="s">
        <v>279</v>
      </c>
      <c r="I41" s="33" t="s">
        <v>492</v>
      </c>
      <c r="J41" s="34" t="s">
        <v>497</v>
      </c>
      <c r="K41" s="33" t="s">
        <v>480</v>
      </c>
      <c r="L41" s="33" t="s">
        <v>486</v>
      </c>
      <c r="M41" s="33" t="s">
        <v>97</v>
      </c>
      <c r="N41" s="34" t="s">
        <v>498</v>
      </c>
      <c r="O41" s="34" t="s">
        <v>300</v>
      </c>
      <c r="P41" s="33" t="s">
        <v>106</v>
      </c>
      <c r="Q41" s="33" t="s">
        <v>286</v>
      </c>
      <c r="R41" s="34" t="s">
        <v>1429</v>
      </c>
      <c r="S41" s="33" t="s">
        <v>69</v>
      </c>
      <c r="T41" s="33" t="s">
        <v>81</v>
      </c>
      <c r="U41" s="33" t="s">
        <v>97</v>
      </c>
      <c r="V41" s="33" t="s">
        <v>88</v>
      </c>
      <c r="W41" s="34"/>
    </row>
    <row r="42" customFormat="false" ht="30" hidden="false" customHeight="true" outlineLevel="0" collapsed="false">
      <c r="A42" s="39" t="s">
        <v>1472</v>
      </c>
      <c r="B42" s="40" t="s">
        <v>500</v>
      </c>
      <c r="C42" s="40" t="s">
        <v>499</v>
      </c>
      <c r="D42" s="39" t="s">
        <v>472</v>
      </c>
      <c r="E42" s="40" t="s">
        <v>474</v>
      </c>
      <c r="F42" s="40" t="s">
        <v>1469</v>
      </c>
      <c r="G42" s="39" t="s">
        <v>275</v>
      </c>
      <c r="H42" s="39" t="s">
        <v>279</v>
      </c>
      <c r="I42" s="39" t="s">
        <v>492</v>
      </c>
      <c r="J42" s="40" t="s">
        <v>501</v>
      </c>
      <c r="K42" s="39" t="s">
        <v>480</v>
      </c>
      <c r="L42" s="39" t="s">
        <v>486</v>
      </c>
      <c r="M42" s="39" t="s">
        <v>97</v>
      </c>
      <c r="N42" s="40" t="s">
        <v>502</v>
      </c>
      <c r="O42" s="40" t="s">
        <v>300</v>
      </c>
      <c r="P42" s="39" t="s">
        <v>106</v>
      </c>
      <c r="Q42" s="39" t="s">
        <v>286</v>
      </c>
      <c r="R42" s="40" t="s">
        <v>1429</v>
      </c>
      <c r="S42" s="39" t="s">
        <v>69</v>
      </c>
      <c r="T42" s="39" t="s">
        <v>81</v>
      </c>
      <c r="U42" s="39" t="s">
        <v>97</v>
      </c>
      <c r="V42" s="39" t="s">
        <v>88</v>
      </c>
      <c r="W42" s="40"/>
    </row>
    <row r="43" customFormat="false" ht="30" hidden="false" customHeight="true" outlineLevel="0" collapsed="false">
      <c r="A43" s="33" t="s">
        <v>1473</v>
      </c>
      <c r="B43" s="34" t="s">
        <v>504</v>
      </c>
      <c r="C43" s="34" t="s">
        <v>503</v>
      </c>
      <c r="D43" s="33" t="s">
        <v>472</v>
      </c>
      <c r="E43" s="34" t="s">
        <v>474</v>
      </c>
      <c r="F43" s="34" t="s">
        <v>1469</v>
      </c>
      <c r="G43" s="33" t="s">
        <v>275</v>
      </c>
      <c r="H43" s="33" t="s">
        <v>279</v>
      </c>
      <c r="I43" s="33" t="s">
        <v>394</v>
      </c>
      <c r="J43" s="34" t="s">
        <v>505</v>
      </c>
      <c r="K43" s="33" t="s">
        <v>480</v>
      </c>
      <c r="L43" s="33" t="s">
        <v>486</v>
      </c>
      <c r="M43" s="33" t="s">
        <v>97</v>
      </c>
      <c r="N43" s="34" t="s">
        <v>506</v>
      </c>
      <c r="O43" s="34" t="s">
        <v>180</v>
      </c>
      <c r="P43" s="33" t="s">
        <v>106</v>
      </c>
      <c r="Q43" s="33" t="s">
        <v>286</v>
      </c>
      <c r="R43" s="34" t="s">
        <v>1429</v>
      </c>
      <c r="S43" s="33" t="s">
        <v>69</v>
      </c>
      <c r="T43" s="33" t="s">
        <v>81</v>
      </c>
      <c r="U43" s="33" t="s">
        <v>97</v>
      </c>
      <c r="V43" s="33" t="s">
        <v>88</v>
      </c>
      <c r="W43" s="34"/>
    </row>
    <row r="44" customFormat="false" ht="30" hidden="false" customHeight="true" outlineLevel="0" collapsed="false">
      <c r="A44" s="39" t="s">
        <v>1474</v>
      </c>
      <c r="B44" s="40" t="s">
        <v>508</v>
      </c>
      <c r="C44" s="40" t="s">
        <v>507</v>
      </c>
      <c r="D44" s="39" t="s">
        <v>472</v>
      </c>
      <c r="E44" s="40" t="s">
        <v>474</v>
      </c>
      <c r="F44" s="40" t="s">
        <v>1469</v>
      </c>
      <c r="G44" s="39" t="s">
        <v>275</v>
      </c>
      <c r="H44" s="39" t="s">
        <v>279</v>
      </c>
      <c r="I44" s="39" t="s">
        <v>394</v>
      </c>
      <c r="J44" s="40" t="s">
        <v>509</v>
      </c>
      <c r="K44" s="39" t="s">
        <v>480</v>
      </c>
      <c r="L44" s="39" t="s">
        <v>486</v>
      </c>
      <c r="M44" s="39" t="s">
        <v>97</v>
      </c>
      <c r="N44" s="40" t="s">
        <v>506</v>
      </c>
      <c r="O44" s="40" t="s">
        <v>180</v>
      </c>
      <c r="P44" s="39" t="s">
        <v>106</v>
      </c>
      <c r="Q44" s="39" t="s">
        <v>286</v>
      </c>
      <c r="R44" s="40" t="s">
        <v>1429</v>
      </c>
      <c r="S44" s="39" t="s">
        <v>69</v>
      </c>
      <c r="T44" s="39" t="s">
        <v>81</v>
      </c>
      <c r="U44" s="39" t="s">
        <v>97</v>
      </c>
      <c r="V44" s="39" t="s">
        <v>88</v>
      </c>
      <c r="W44" s="40" t="s">
        <v>510</v>
      </c>
    </row>
    <row r="45" customFormat="false" ht="30" hidden="false" customHeight="true" outlineLevel="0" collapsed="false">
      <c r="A45" s="33" t="s">
        <v>1475</v>
      </c>
      <c r="B45" s="34" t="s">
        <v>513</v>
      </c>
      <c r="C45" s="34" t="s">
        <v>512</v>
      </c>
      <c r="D45" s="33" t="s">
        <v>472</v>
      </c>
      <c r="E45" s="34" t="s">
        <v>474</v>
      </c>
      <c r="F45" s="34" t="s">
        <v>1469</v>
      </c>
      <c r="G45" s="33" t="s">
        <v>275</v>
      </c>
      <c r="H45" s="33" t="s">
        <v>279</v>
      </c>
      <c r="I45" s="33" t="s">
        <v>280</v>
      </c>
      <c r="J45" s="34" t="s">
        <v>514</v>
      </c>
      <c r="K45" s="33" t="s">
        <v>480</v>
      </c>
      <c r="L45" s="33" t="s">
        <v>486</v>
      </c>
      <c r="M45" s="33" t="s">
        <v>203</v>
      </c>
      <c r="N45" s="34" t="s">
        <v>515</v>
      </c>
      <c r="O45" s="34" t="s">
        <v>300</v>
      </c>
      <c r="P45" s="33" t="s">
        <v>108</v>
      </c>
      <c r="Q45" s="33" t="s">
        <v>335</v>
      </c>
      <c r="R45" s="34" t="s">
        <v>1429</v>
      </c>
      <c r="S45" s="33" t="s">
        <v>69</v>
      </c>
      <c r="T45" s="33" t="s">
        <v>81</v>
      </c>
      <c r="U45" s="33" t="s">
        <v>95</v>
      </c>
      <c r="V45" s="33" t="s">
        <v>86</v>
      </c>
      <c r="W45" s="34" t="s">
        <v>516</v>
      </c>
    </row>
    <row r="46" customFormat="false" ht="30" hidden="false" customHeight="true" outlineLevel="0" collapsed="false">
      <c r="A46" s="39" t="s">
        <v>1476</v>
      </c>
      <c r="B46" s="40" t="s">
        <v>518</v>
      </c>
      <c r="C46" s="40" t="s">
        <v>517</v>
      </c>
      <c r="D46" s="39" t="s">
        <v>472</v>
      </c>
      <c r="E46" s="40" t="s">
        <v>474</v>
      </c>
      <c r="F46" s="40" t="s">
        <v>1469</v>
      </c>
      <c r="G46" s="39" t="s">
        <v>275</v>
      </c>
      <c r="H46" s="39" t="s">
        <v>520</v>
      </c>
      <c r="I46" s="39" t="s">
        <v>194</v>
      </c>
      <c r="J46" s="40" t="s">
        <v>519</v>
      </c>
      <c r="K46" s="39" t="s">
        <v>480</v>
      </c>
      <c r="L46" s="39" t="s">
        <v>486</v>
      </c>
      <c r="M46" s="39" t="s">
        <v>203</v>
      </c>
      <c r="N46" s="40" t="s">
        <v>522</v>
      </c>
      <c r="O46" s="40" t="s">
        <v>523</v>
      </c>
      <c r="P46" s="39" t="s">
        <v>108</v>
      </c>
      <c r="Q46" s="39" t="s">
        <v>335</v>
      </c>
      <c r="R46" s="40" t="s">
        <v>1429</v>
      </c>
      <c r="S46" s="39" t="s">
        <v>69</v>
      </c>
      <c r="T46" s="39" t="s">
        <v>81</v>
      </c>
      <c r="U46" s="39" t="s">
        <v>95</v>
      </c>
      <c r="V46" s="39" t="s">
        <v>86</v>
      </c>
      <c r="W46" s="40"/>
    </row>
    <row r="47" customFormat="false" ht="30" hidden="false" customHeight="true" outlineLevel="0" collapsed="false">
      <c r="A47" s="33" t="s">
        <v>1477</v>
      </c>
      <c r="B47" s="34" t="s">
        <v>525</v>
      </c>
      <c r="C47" s="34" t="s">
        <v>524</v>
      </c>
      <c r="D47" s="33" t="s">
        <v>472</v>
      </c>
      <c r="E47" s="34" t="s">
        <v>474</v>
      </c>
      <c r="F47" s="34" t="s">
        <v>1469</v>
      </c>
      <c r="G47" s="33" t="s">
        <v>275</v>
      </c>
      <c r="H47" s="33" t="s">
        <v>331</v>
      </c>
      <c r="I47" s="33" t="s">
        <v>332</v>
      </c>
      <c r="J47" s="34" t="s">
        <v>526</v>
      </c>
      <c r="K47" s="33" t="s">
        <v>480</v>
      </c>
      <c r="L47" s="33" t="s">
        <v>486</v>
      </c>
      <c r="M47" s="33" t="s">
        <v>203</v>
      </c>
      <c r="N47" s="34" t="s">
        <v>528</v>
      </c>
      <c r="O47" s="34" t="s">
        <v>410</v>
      </c>
      <c r="P47" s="33" t="s">
        <v>108</v>
      </c>
      <c r="Q47" s="33" t="s">
        <v>335</v>
      </c>
      <c r="R47" s="34" t="s">
        <v>1429</v>
      </c>
      <c r="S47" s="33" t="s">
        <v>69</v>
      </c>
      <c r="T47" s="33" t="s">
        <v>81</v>
      </c>
      <c r="U47" s="33" t="s">
        <v>95</v>
      </c>
      <c r="V47" s="33" t="s">
        <v>86</v>
      </c>
      <c r="W47" s="34"/>
    </row>
    <row r="48" customFormat="false" ht="30" hidden="false" customHeight="true" outlineLevel="0" collapsed="false">
      <c r="A48" s="39" t="s">
        <v>1478</v>
      </c>
      <c r="B48" s="40" t="s">
        <v>531</v>
      </c>
      <c r="C48" s="40" t="s">
        <v>530</v>
      </c>
      <c r="D48" s="39" t="s">
        <v>472</v>
      </c>
      <c r="E48" s="40" t="s">
        <v>474</v>
      </c>
      <c r="F48" s="40" t="s">
        <v>1469</v>
      </c>
      <c r="G48" s="39" t="s">
        <v>275</v>
      </c>
      <c r="H48" s="39" t="s">
        <v>533</v>
      </c>
      <c r="I48" s="39" t="s">
        <v>534</v>
      </c>
      <c r="J48" s="40" t="s">
        <v>532</v>
      </c>
      <c r="K48" s="39" t="s">
        <v>480</v>
      </c>
      <c r="L48" s="39" t="s">
        <v>486</v>
      </c>
      <c r="M48" s="39" t="s">
        <v>203</v>
      </c>
      <c r="N48" s="40" t="s">
        <v>535</v>
      </c>
      <c r="O48" s="40" t="s">
        <v>285</v>
      </c>
      <c r="P48" s="39" t="s">
        <v>108</v>
      </c>
      <c r="Q48" s="39" t="s">
        <v>335</v>
      </c>
      <c r="R48" s="40" t="s">
        <v>1429</v>
      </c>
      <c r="S48" s="39" t="s">
        <v>69</v>
      </c>
      <c r="T48" s="39" t="s">
        <v>81</v>
      </c>
      <c r="U48" s="39" t="s">
        <v>95</v>
      </c>
      <c r="V48" s="39" t="s">
        <v>86</v>
      </c>
      <c r="W48" s="40" t="s">
        <v>536</v>
      </c>
    </row>
    <row r="49" customFormat="false" ht="30" hidden="false" customHeight="true" outlineLevel="0" collapsed="false">
      <c r="A49" s="33" t="s">
        <v>1479</v>
      </c>
      <c r="B49" s="34" t="s">
        <v>545</v>
      </c>
      <c r="C49" s="34" t="s">
        <v>544</v>
      </c>
      <c r="D49" s="33" t="s">
        <v>472</v>
      </c>
      <c r="E49" s="34" t="s">
        <v>474</v>
      </c>
      <c r="F49" s="34" t="s">
        <v>1480</v>
      </c>
      <c r="G49" s="33" t="s">
        <v>194</v>
      </c>
      <c r="H49" s="33" t="s">
        <v>279</v>
      </c>
      <c r="I49" s="33" t="s">
        <v>547</v>
      </c>
      <c r="J49" s="34" t="s">
        <v>546</v>
      </c>
      <c r="K49" s="33" t="s">
        <v>363</v>
      </c>
      <c r="L49" s="33" t="s">
        <v>553</v>
      </c>
      <c r="M49" s="33" t="s">
        <v>203</v>
      </c>
      <c r="N49" s="34" t="s">
        <v>550</v>
      </c>
      <c r="O49" s="34" t="s">
        <v>551</v>
      </c>
      <c r="P49" s="33" t="s">
        <v>110</v>
      </c>
      <c r="Q49" s="33" t="s">
        <v>552</v>
      </c>
      <c r="R49" s="34" t="s">
        <v>1429</v>
      </c>
      <c r="S49" s="33" t="s">
        <v>75</v>
      </c>
      <c r="T49" s="33" t="s">
        <v>81</v>
      </c>
      <c r="U49" s="33" t="s">
        <v>95</v>
      </c>
      <c r="V49" s="33" t="s">
        <v>86</v>
      </c>
      <c r="W49" s="34" t="s">
        <v>555</v>
      </c>
    </row>
    <row r="50" customFormat="false" ht="30" hidden="false" customHeight="true" outlineLevel="0" collapsed="false">
      <c r="A50" s="39" t="s">
        <v>1481</v>
      </c>
      <c r="B50" s="40" t="s">
        <v>557</v>
      </c>
      <c r="C50" s="40" t="s">
        <v>556</v>
      </c>
      <c r="D50" s="39" t="s">
        <v>472</v>
      </c>
      <c r="E50" s="40" t="s">
        <v>474</v>
      </c>
      <c r="F50" s="40" t="s">
        <v>1480</v>
      </c>
      <c r="G50" s="39" t="s">
        <v>194</v>
      </c>
      <c r="H50" s="39" t="s">
        <v>279</v>
      </c>
      <c r="I50" s="39" t="s">
        <v>559</v>
      </c>
      <c r="J50" s="40" t="s">
        <v>558</v>
      </c>
      <c r="K50" s="39" t="s">
        <v>363</v>
      </c>
      <c r="L50" s="39" t="s">
        <v>553</v>
      </c>
      <c r="M50" s="39" t="s">
        <v>203</v>
      </c>
      <c r="N50" s="40" t="s">
        <v>562</v>
      </c>
      <c r="O50" s="40" t="s">
        <v>300</v>
      </c>
      <c r="P50" s="39" t="s">
        <v>110</v>
      </c>
      <c r="Q50" s="39" t="s">
        <v>563</v>
      </c>
      <c r="R50" s="40" t="s">
        <v>1429</v>
      </c>
      <c r="S50" s="39" t="s">
        <v>75</v>
      </c>
      <c r="T50" s="39" t="s">
        <v>81</v>
      </c>
      <c r="U50" s="39" t="s">
        <v>97</v>
      </c>
      <c r="V50" s="39" t="s">
        <v>88</v>
      </c>
      <c r="W50" s="40" t="s">
        <v>564</v>
      </c>
    </row>
    <row r="51" customFormat="false" ht="30" hidden="false" customHeight="true" outlineLevel="0" collapsed="false">
      <c r="A51" s="33" t="s">
        <v>1482</v>
      </c>
      <c r="B51" s="34" t="s">
        <v>566</v>
      </c>
      <c r="C51" s="34" t="s">
        <v>565</v>
      </c>
      <c r="D51" s="33" t="s">
        <v>472</v>
      </c>
      <c r="E51" s="34" t="s">
        <v>474</v>
      </c>
      <c r="F51" s="34" t="s">
        <v>1428</v>
      </c>
      <c r="G51" s="33" t="s">
        <v>194</v>
      </c>
      <c r="H51" s="33" t="s">
        <v>201</v>
      </c>
      <c r="I51" s="33" t="s">
        <v>194</v>
      </c>
      <c r="J51" s="34" t="s">
        <v>567</v>
      </c>
      <c r="K51" s="33" t="s">
        <v>214</v>
      </c>
      <c r="L51" s="33" t="s">
        <v>194</v>
      </c>
      <c r="M51" s="33" t="s">
        <v>203</v>
      </c>
      <c r="N51" s="34" t="s">
        <v>569</v>
      </c>
      <c r="O51" s="34" t="s">
        <v>180</v>
      </c>
      <c r="P51" s="33" t="s">
        <v>108</v>
      </c>
      <c r="Q51" s="33" t="s">
        <v>570</v>
      </c>
      <c r="R51" s="34" t="s">
        <v>1429</v>
      </c>
      <c r="S51" s="33" t="s">
        <v>75</v>
      </c>
      <c r="T51" s="33" t="s">
        <v>81</v>
      </c>
      <c r="U51" s="33" t="s">
        <v>95</v>
      </c>
      <c r="V51" s="33" t="s">
        <v>86</v>
      </c>
      <c r="W51" s="34" t="s">
        <v>571</v>
      </c>
    </row>
    <row r="52" customFormat="false" ht="30" hidden="false" customHeight="true" outlineLevel="0" collapsed="false">
      <c r="A52" s="39" t="s">
        <v>1483</v>
      </c>
      <c r="B52" s="40" t="s">
        <v>573</v>
      </c>
      <c r="C52" s="40" t="s">
        <v>572</v>
      </c>
      <c r="D52" s="39" t="s">
        <v>472</v>
      </c>
      <c r="E52" s="40" t="s">
        <v>474</v>
      </c>
      <c r="F52" s="40" t="s">
        <v>1428</v>
      </c>
      <c r="G52" s="39" t="s">
        <v>194</v>
      </c>
      <c r="H52" s="39" t="s">
        <v>279</v>
      </c>
      <c r="I52" s="39" t="s">
        <v>322</v>
      </c>
      <c r="J52" s="40" t="s">
        <v>574</v>
      </c>
      <c r="K52" s="39" t="s">
        <v>214</v>
      </c>
      <c r="L52" s="39" t="s">
        <v>194</v>
      </c>
      <c r="M52" s="39" t="s">
        <v>203</v>
      </c>
      <c r="N52" s="40" t="s">
        <v>577</v>
      </c>
      <c r="O52" s="40" t="s">
        <v>300</v>
      </c>
      <c r="P52" s="39" t="s">
        <v>110</v>
      </c>
      <c r="Q52" s="39" t="s">
        <v>570</v>
      </c>
      <c r="R52" s="40" t="s">
        <v>1429</v>
      </c>
      <c r="S52" s="39" t="s">
        <v>75</v>
      </c>
      <c r="T52" s="39" t="s">
        <v>81</v>
      </c>
      <c r="U52" s="39" t="s">
        <v>95</v>
      </c>
      <c r="V52" s="39" t="s">
        <v>86</v>
      </c>
      <c r="W52" s="40" t="s">
        <v>578</v>
      </c>
    </row>
    <row r="53" customFormat="false" ht="30" hidden="false" customHeight="true" outlineLevel="0" collapsed="false">
      <c r="A53" s="33" t="s">
        <v>1484</v>
      </c>
      <c r="B53" s="34" t="s">
        <v>581</v>
      </c>
      <c r="C53" s="34" t="s">
        <v>580</v>
      </c>
      <c r="D53" s="33" t="s">
        <v>472</v>
      </c>
      <c r="E53" s="34" t="s">
        <v>474</v>
      </c>
      <c r="F53" s="34" t="s">
        <v>1428</v>
      </c>
      <c r="G53" s="33" t="s">
        <v>194</v>
      </c>
      <c r="H53" s="33" t="s">
        <v>201</v>
      </c>
      <c r="I53" s="33" t="s">
        <v>194</v>
      </c>
      <c r="J53" s="34" t="s">
        <v>582</v>
      </c>
      <c r="K53" s="33" t="s">
        <v>196</v>
      </c>
      <c r="L53" s="33" t="s">
        <v>209</v>
      </c>
      <c r="M53" s="33" t="s">
        <v>203</v>
      </c>
      <c r="N53" s="34" t="s">
        <v>584</v>
      </c>
      <c r="O53" s="34" t="s">
        <v>300</v>
      </c>
      <c r="P53" s="33" t="s">
        <v>108</v>
      </c>
      <c r="Q53" s="33" t="s">
        <v>205</v>
      </c>
      <c r="R53" s="34" t="s">
        <v>1429</v>
      </c>
      <c r="S53" s="33" t="s">
        <v>73</v>
      </c>
      <c r="T53" s="33" t="s">
        <v>81</v>
      </c>
      <c r="U53" s="33" t="s">
        <v>95</v>
      </c>
      <c r="V53" s="33" t="s">
        <v>86</v>
      </c>
      <c r="W53" s="34" t="s">
        <v>585</v>
      </c>
    </row>
    <row r="54" customFormat="false" ht="30" hidden="false" customHeight="true" outlineLevel="0" collapsed="false">
      <c r="A54" s="39" t="s">
        <v>1485</v>
      </c>
      <c r="B54" s="40" t="s">
        <v>600</v>
      </c>
      <c r="C54" s="40" t="s">
        <v>598</v>
      </c>
      <c r="D54" s="39" t="s">
        <v>587</v>
      </c>
      <c r="E54" s="40" t="s">
        <v>589</v>
      </c>
      <c r="F54" s="40" t="s">
        <v>1486</v>
      </c>
      <c r="G54" s="39" t="s">
        <v>599</v>
      </c>
      <c r="H54" s="39" t="s">
        <v>339</v>
      </c>
      <c r="I54" s="39" t="s">
        <v>603</v>
      </c>
      <c r="J54" s="40" t="s">
        <v>601</v>
      </c>
      <c r="K54" s="39" t="s">
        <v>597</v>
      </c>
      <c r="L54" s="39" t="s">
        <v>609</v>
      </c>
      <c r="M54" s="39" t="s">
        <v>203</v>
      </c>
      <c r="N54" s="40" t="s">
        <v>607</v>
      </c>
      <c r="O54" s="40" t="s">
        <v>608</v>
      </c>
      <c r="P54" s="39" t="s">
        <v>106</v>
      </c>
      <c r="Q54" s="39" t="s">
        <v>286</v>
      </c>
      <c r="R54" s="40" t="s">
        <v>1429</v>
      </c>
      <c r="S54" s="39" t="s">
        <v>59</v>
      </c>
      <c r="T54" s="39" t="s">
        <v>99</v>
      </c>
      <c r="U54" s="39" t="s">
        <v>93</v>
      </c>
      <c r="V54" s="39" t="s">
        <v>84</v>
      </c>
      <c r="W54" s="40" t="s">
        <v>611</v>
      </c>
    </row>
    <row r="55" customFormat="false" ht="30" hidden="false" customHeight="true" outlineLevel="0" collapsed="false">
      <c r="A55" s="33" t="s">
        <v>1487</v>
      </c>
      <c r="B55" s="34" t="s">
        <v>613</v>
      </c>
      <c r="C55" s="34" t="s">
        <v>612</v>
      </c>
      <c r="D55" s="33" t="s">
        <v>587</v>
      </c>
      <c r="E55" s="34" t="s">
        <v>589</v>
      </c>
      <c r="F55" s="34" t="s">
        <v>1486</v>
      </c>
      <c r="G55" s="33" t="s">
        <v>275</v>
      </c>
      <c r="H55" s="33" t="s">
        <v>279</v>
      </c>
      <c r="I55" s="33" t="s">
        <v>603</v>
      </c>
      <c r="J55" s="34" t="s">
        <v>614</v>
      </c>
      <c r="K55" s="33" t="s">
        <v>597</v>
      </c>
      <c r="L55" s="33" t="s">
        <v>609</v>
      </c>
      <c r="M55" s="33" t="s">
        <v>203</v>
      </c>
      <c r="N55" s="34" t="s">
        <v>616</v>
      </c>
      <c r="O55" s="34" t="s">
        <v>300</v>
      </c>
      <c r="P55" s="33" t="s">
        <v>106</v>
      </c>
      <c r="Q55" s="33" t="s">
        <v>286</v>
      </c>
      <c r="R55" s="34" t="s">
        <v>1429</v>
      </c>
      <c r="S55" s="33" t="s">
        <v>59</v>
      </c>
      <c r="T55" s="33" t="s">
        <v>99</v>
      </c>
      <c r="U55" s="33" t="s">
        <v>95</v>
      </c>
      <c r="V55" s="33" t="s">
        <v>86</v>
      </c>
      <c r="W55" s="34" t="s">
        <v>617</v>
      </c>
    </row>
    <row r="56" customFormat="false" ht="30" hidden="false" customHeight="true" outlineLevel="0" collapsed="false">
      <c r="A56" s="39" t="s">
        <v>1488</v>
      </c>
      <c r="B56" s="40" t="s">
        <v>619</v>
      </c>
      <c r="C56" s="40" t="s">
        <v>618</v>
      </c>
      <c r="D56" s="39" t="s">
        <v>587</v>
      </c>
      <c r="E56" s="40" t="s">
        <v>589</v>
      </c>
      <c r="F56" s="40" t="s">
        <v>1486</v>
      </c>
      <c r="G56" s="39" t="s">
        <v>275</v>
      </c>
      <c r="H56" s="39" t="s">
        <v>279</v>
      </c>
      <c r="I56" s="39" t="s">
        <v>603</v>
      </c>
      <c r="J56" s="40" t="s">
        <v>620</v>
      </c>
      <c r="K56" s="39" t="s">
        <v>597</v>
      </c>
      <c r="L56" s="39" t="s">
        <v>609</v>
      </c>
      <c r="M56" s="39" t="s">
        <v>203</v>
      </c>
      <c r="N56" s="40" t="s">
        <v>622</v>
      </c>
      <c r="O56" s="40" t="s">
        <v>300</v>
      </c>
      <c r="P56" s="39" t="s">
        <v>106</v>
      </c>
      <c r="Q56" s="39" t="s">
        <v>286</v>
      </c>
      <c r="R56" s="40" t="s">
        <v>1429</v>
      </c>
      <c r="S56" s="39" t="s">
        <v>59</v>
      </c>
      <c r="T56" s="39" t="s">
        <v>99</v>
      </c>
      <c r="U56" s="39" t="s">
        <v>97</v>
      </c>
      <c r="V56" s="39" t="s">
        <v>88</v>
      </c>
      <c r="W56" s="40"/>
    </row>
    <row r="57" customFormat="false" ht="30" hidden="false" customHeight="true" outlineLevel="0" collapsed="false">
      <c r="A57" s="33" t="s">
        <v>1489</v>
      </c>
      <c r="B57" s="34" t="s">
        <v>624</v>
      </c>
      <c r="C57" s="34" t="s">
        <v>623</v>
      </c>
      <c r="D57" s="33" t="s">
        <v>587</v>
      </c>
      <c r="E57" s="34" t="s">
        <v>589</v>
      </c>
      <c r="F57" s="34" t="s">
        <v>1486</v>
      </c>
      <c r="G57" s="33" t="s">
        <v>275</v>
      </c>
      <c r="H57" s="33" t="s">
        <v>331</v>
      </c>
      <c r="I57" s="33" t="s">
        <v>626</v>
      </c>
      <c r="J57" s="34" t="s">
        <v>625</v>
      </c>
      <c r="K57" s="33" t="s">
        <v>597</v>
      </c>
      <c r="L57" s="33" t="s">
        <v>609</v>
      </c>
      <c r="M57" s="33" t="s">
        <v>203</v>
      </c>
      <c r="N57" s="34" t="s">
        <v>628</v>
      </c>
      <c r="O57" s="34" t="s">
        <v>324</v>
      </c>
      <c r="P57" s="33" t="s">
        <v>108</v>
      </c>
      <c r="Q57" s="33" t="s">
        <v>335</v>
      </c>
      <c r="R57" s="34" t="s">
        <v>1429</v>
      </c>
      <c r="S57" s="33" t="s">
        <v>59</v>
      </c>
      <c r="T57" s="33" t="s">
        <v>99</v>
      </c>
      <c r="U57" s="33" t="s">
        <v>95</v>
      </c>
      <c r="V57" s="33" t="s">
        <v>86</v>
      </c>
      <c r="W57" s="34"/>
    </row>
    <row r="58" customFormat="false" ht="30" hidden="false" customHeight="true" outlineLevel="0" collapsed="false">
      <c r="A58" s="39" t="s">
        <v>1490</v>
      </c>
      <c r="B58" s="40" t="s">
        <v>630</v>
      </c>
      <c r="C58" s="40" t="s">
        <v>629</v>
      </c>
      <c r="D58" s="39" t="s">
        <v>587</v>
      </c>
      <c r="E58" s="40" t="s">
        <v>589</v>
      </c>
      <c r="F58" s="40" t="s">
        <v>1486</v>
      </c>
      <c r="G58" s="39" t="s">
        <v>275</v>
      </c>
      <c r="H58" s="39" t="s">
        <v>339</v>
      </c>
      <c r="I58" s="39" t="s">
        <v>632</v>
      </c>
      <c r="J58" s="40" t="s">
        <v>631</v>
      </c>
      <c r="K58" s="39" t="s">
        <v>597</v>
      </c>
      <c r="L58" s="39" t="s">
        <v>609</v>
      </c>
      <c r="M58" s="39" t="s">
        <v>203</v>
      </c>
      <c r="N58" s="40" t="s">
        <v>635</v>
      </c>
      <c r="O58" s="40" t="s">
        <v>300</v>
      </c>
      <c r="P58" s="39" t="s">
        <v>106</v>
      </c>
      <c r="Q58" s="39" t="s">
        <v>286</v>
      </c>
      <c r="R58" s="40" t="s">
        <v>1429</v>
      </c>
      <c r="S58" s="39" t="s">
        <v>59</v>
      </c>
      <c r="T58" s="39" t="s">
        <v>99</v>
      </c>
      <c r="U58" s="39" t="s">
        <v>97</v>
      </c>
      <c r="V58" s="39" t="s">
        <v>88</v>
      </c>
      <c r="W58" s="40"/>
    </row>
    <row r="59" customFormat="false" ht="30" hidden="false" customHeight="true" outlineLevel="0" collapsed="false">
      <c r="A59" s="33" t="s">
        <v>1491</v>
      </c>
      <c r="B59" s="34" t="s">
        <v>637</v>
      </c>
      <c r="C59" s="34" t="s">
        <v>636</v>
      </c>
      <c r="D59" s="33" t="s">
        <v>587</v>
      </c>
      <c r="E59" s="34" t="s">
        <v>589</v>
      </c>
      <c r="F59" s="34" t="s">
        <v>1486</v>
      </c>
      <c r="G59" s="33" t="s">
        <v>275</v>
      </c>
      <c r="H59" s="33" t="s">
        <v>339</v>
      </c>
      <c r="I59" s="33" t="s">
        <v>547</v>
      </c>
      <c r="J59" s="34" t="s">
        <v>638</v>
      </c>
      <c r="K59" s="33" t="s">
        <v>597</v>
      </c>
      <c r="L59" s="33" t="s">
        <v>609</v>
      </c>
      <c r="M59" s="33" t="s">
        <v>203</v>
      </c>
      <c r="N59" s="34" t="s">
        <v>640</v>
      </c>
      <c r="O59" s="34" t="s">
        <v>300</v>
      </c>
      <c r="P59" s="33" t="s">
        <v>106</v>
      </c>
      <c r="Q59" s="33" t="s">
        <v>286</v>
      </c>
      <c r="R59" s="34" t="s">
        <v>1429</v>
      </c>
      <c r="S59" s="33" t="s">
        <v>59</v>
      </c>
      <c r="T59" s="33" t="s">
        <v>99</v>
      </c>
      <c r="U59" s="33" t="s">
        <v>97</v>
      </c>
      <c r="V59" s="33" t="s">
        <v>88</v>
      </c>
      <c r="W59" s="34" t="s">
        <v>641</v>
      </c>
    </row>
    <row r="60" customFormat="false" ht="30" hidden="false" customHeight="true" outlineLevel="0" collapsed="false">
      <c r="A60" s="39" t="s">
        <v>1492</v>
      </c>
      <c r="B60" s="40" t="s">
        <v>643</v>
      </c>
      <c r="C60" s="40" t="s">
        <v>642</v>
      </c>
      <c r="D60" s="39" t="s">
        <v>587</v>
      </c>
      <c r="E60" s="40" t="s">
        <v>589</v>
      </c>
      <c r="F60" s="40" t="s">
        <v>1486</v>
      </c>
      <c r="G60" s="39" t="s">
        <v>275</v>
      </c>
      <c r="H60" s="39" t="s">
        <v>339</v>
      </c>
      <c r="I60" s="39" t="s">
        <v>547</v>
      </c>
      <c r="J60" s="40" t="s">
        <v>644</v>
      </c>
      <c r="K60" s="39" t="s">
        <v>597</v>
      </c>
      <c r="L60" s="39" t="s">
        <v>609</v>
      </c>
      <c r="M60" s="39" t="s">
        <v>203</v>
      </c>
      <c r="N60" s="40" t="s">
        <v>640</v>
      </c>
      <c r="O60" s="40" t="s">
        <v>300</v>
      </c>
      <c r="P60" s="39" t="s">
        <v>106</v>
      </c>
      <c r="Q60" s="39" t="s">
        <v>286</v>
      </c>
      <c r="R60" s="40" t="s">
        <v>1429</v>
      </c>
      <c r="S60" s="39" t="s">
        <v>59</v>
      </c>
      <c r="T60" s="39" t="s">
        <v>99</v>
      </c>
      <c r="U60" s="39" t="s">
        <v>97</v>
      </c>
      <c r="V60" s="39" t="s">
        <v>88</v>
      </c>
      <c r="W60" s="40"/>
    </row>
    <row r="61" customFormat="false" ht="30" hidden="false" customHeight="true" outlineLevel="0" collapsed="false">
      <c r="A61" s="33" t="s">
        <v>1493</v>
      </c>
      <c r="B61" s="34" t="s">
        <v>646</v>
      </c>
      <c r="C61" s="34" t="s">
        <v>645</v>
      </c>
      <c r="D61" s="33" t="s">
        <v>587</v>
      </c>
      <c r="E61" s="34" t="s">
        <v>589</v>
      </c>
      <c r="F61" s="34" t="s">
        <v>1486</v>
      </c>
      <c r="G61" s="33" t="s">
        <v>275</v>
      </c>
      <c r="H61" s="33" t="s">
        <v>339</v>
      </c>
      <c r="I61" s="33" t="s">
        <v>547</v>
      </c>
      <c r="J61" s="34" t="s">
        <v>647</v>
      </c>
      <c r="K61" s="33" t="s">
        <v>597</v>
      </c>
      <c r="L61" s="33" t="s">
        <v>609</v>
      </c>
      <c r="M61" s="33" t="s">
        <v>203</v>
      </c>
      <c r="N61" s="34" t="s">
        <v>649</v>
      </c>
      <c r="O61" s="34" t="s">
        <v>650</v>
      </c>
      <c r="P61" s="33" t="s">
        <v>106</v>
      </c>
      <c r="Q61" s="33" t="s">
        <v>286</v>
      </c>
      <c r="R61" s="34" t="s">
        <v>1429</v>
      </c>
      <c r="S61" s="33" t="s">
        <v>59</v>
      </c>
      <c r="T61" s="33" t="s">
        <v>99</v>
      </c>
      <c r="U61" s="33" t="s">
        <v>95</v>
      </c>
      <c r="V61" s="33" t="s">
        <v>86</v>
      </c>
      <c r="W61" s="34"/>
    </row>
    <row r="62" customFormat="false" ht="30" hidden="false" customHeight="true" outlineLevel="0" collapsed="false">
      <c r="A62" s="39" t="s">
        <v>1494</v>
      </c>
      <c r="B62" s="40" t="s">
        <v>652</v>
      </c>
      <c r="C62" s="40" t="s">
        <v>651</v>
      </c>
      <c r="D62" s="39" t="s">
        <v>587</v>
      </c>
      <c r="E62" s="40" t="s">
        <v>589</v>
      </c>
      <c r="F62" s="40" t="s">
        <v>1486</v>
      </c>
      <c r="G62" s="39" t="s">
        <v>275</v>
      </c>
      <c r="H62" s="39" t="s">
        <v>279</v>
      </c>
      <c r="I62" s="39" t="s">
        <v>280</v>
      </c>
      <c r="J62" s="40" t="s">
        <v>653</v>
      </c>
      <c r="K62" s="39" t="s">
        <v>597</v>
      </c>
      <c r="L62" s="39" t="s">
        <v>609</v>
      </c>
      <c r="M62" s="39" t="s">
        <v>203</v>
      </c>
      <c r="N62" s="40" t="s">
        <v>657</v>
      </c>
      <c r="O62" s="40" t="s">
        <v>658</v>
      </c>
      <c r="P62" s="39" t="s">
        <v>106</v>
      </c>
      <c r="Q62" s="39" t="s">
        <v>286</v>
      </c>
      <c r="R62" s="40" t="s">
        <v>1429</v>
      </c>
      <c r="S62" s="39" t="s">
        <v>59</v>
      </c>
      <c r="T62" s="39" t="s">
        <v>99</v>
      </c>
      <c r="U62" s="39" t="s">
        <v>93</v>
      </c>
      <c r="V62" s="39" t="s">
        <v>84</v>
      </c>
      <c r="W62" s="40" t="s">
        <v>659</v>
      </c>
    </row>
    <row r="63" customFormat="false" ht="30" hidden="false" customHeight="true" outlineLevel="0" collapsed="false">
      <c r="A63" s="33" t="s">
        <v>1495</v>
      </c>
      <c r="B63" s="34" t="s">
        <v>662</v>
      </c>
      <c r="C63" s="34" t="s">
        <v>661</v>
      </c>
      <c r="D63" s="33" t="s">
        <v>587</v>
      </c>
      <c r="E63" s="34" t="s">
        <v>589</v>
      </c>
      <c r="F63" s="34" t="s">
        <v>1486</v>
      </c>
      <c r="G63" s="33" t="s">
        <v>275</v>
      </c>
      <c r="H63" s="33" t="s">
        <v>279</v>
      </c>
      <c r="I63" s="33" t="s">
        <v>322</v>
      </c>
      <c r="J63" s="34" t="s">
        <v>663</v>
      </c>
      <c r="K63" s="33" t="s">
        <v>597</v>
      </c>
      <c r="L63" s="33" t="s">
        <v>609</v>
      </c>
      <c r="M63" s="33" t="s">
        <v>203</v>
      </c>
      <c r="N63" s="34" t="s">
        <v>667</v>
      </c>
      <c r="O63" s="34" t="s">
        <v>668</v>
      </c>
      <c r="P63" s="33" t="s">
        <v>106</v>
      </c>
      <c r="Q63" s="33" t="s">
        <v>286</v>
      </c>
      <c r="R63" s="34" t="s">
        <v>1429</v>
      </c>
      <c r="S63" s="33" t="s">
        <v>59</v>
      </c>
      <c r="T63" s="33" t="s">
        <v>99</v>
      </c>
      <c r="U63" s="33" t="s">
        <v>95</v>
      </c>
      <c r="V63" s="33" t="s">
        <v>86</v>
      </c>
      <c r="W63" s="34" t="s">
        <v>669</v>
      </c>
    </row>
    <row r="64" customFormat="false" ht="30" hidden="false" customHeight="true" outlineLevel="0" collapsed="false">
      <c r="A64" s="39" t="s">
        <v>1496</v>
      </c>
      <c r="B64" s="40" t="s">
        <v>671</v>
      </c>
      <c r="C64" s="40" t="s">
        <v>670</v>
      </c>
      <c r="D64" s="39" t="s">
        <v>587</v>
      </c>
      <c r="E64" s="40" t="s">
        <v>589</v>
      </c>
      <c r="F64" s="40" t="s">
        <v>1486</v>
      </c>
      <c r="G64" s="39" t="s">
        <v>275</v>
      </c>
      <c r="H64" s="39" t="s">
        <v>279</v>
      </c>
      <c r="I64" s="39" t="s">
        <v>322</v>
      </c>
      <c r="J64" s="40" t="s">
        <v>672</v>
      </c>
      <c r="K64" s="39" t="s">
        <v>597</v>
      </c>
      <c r="L64" s="39" t="s">
        <v>609</v>
      </c>
      <c r="M64" s="39" t="s">
        <v>203</v>
      </c>
      <c r="N64" s="40" t="s">
        <v>674</v>
      </c>
      <c r="O64" s="40" t="s">
        <v>179</v>
      </c>
      <c r="P64" s="39" t="s">
        <v>106</v>
      </c>
      <c r="Q64" s="39" t="s">
        <v>286</v>
      </c>
      <c r="R64" s="40" t="s">
        <v>1429</v>
      </c>
      <c r="S64" s="39" t="s">
        <v>59</v>
      </c>
      <c r="T64" s="39" t="s">
        <v>99</v>
      </c>
      <c r="U64" s="39" t="s">
        <v>95</v>
      </c>
      <c r="V64" s="39" t="s">
        <v>86</v>
      </c>
      <c r="W64" s="40"/>
    </row>
    <row r="65" customFormat="false" ht="30" hidden="false" customHeight="true" outlineLevel="0" collapsed="false">
      <c r="A65" s="33" t="s">
        <v>1497</v>
      </c>
      <c r="B65" s="34" t="s">
        <v>676</v>
      </c>
      <c r="C65" s="34" t="s">
        <v>675</v>
      </c>
      <c r="D65" s="33" t="s">
        <v>587</v>
      </c>
      <c r="E65" s="34" t="s">
        <v>589</v>
      </c>
      <c r="F65" s="34" t="s">
        <v>1486</v>
      </c>
      <c r="G65" s="33" t="s">
        <v>275</v>
      </c>
      <c r="H65" s="33" t="s">
        <v>279</v>
      </c>
      <c r="I65" s="33" t="s">
        <v>322</v>
      </c>
      <c r="J65" s="34" t="s">
        <v>677</v>
      </c>
      <c r="K65" s="33" t="s">
        <v>597</v>
      </c>
      <c r="L65" s="33" t="s">
        <v>609</v>
      </c>
      <c r="M65" s="33" t="s">
        <v>203</v>
      </c>
      <c r="N65" s="34" t="s">
        <v>679</v>
      </c>
      <c r="O65" s="34" t="s">
        <v>300</v>
      </c>
      <c r="P65" s="33" t="s">
        <v>106</v>
      </c>
      <c r="Q65" s="33" t="s">
        <v>286</v>
      </c>
      <c r="R65" s="34" t="s">
        <v>1429</v>
      </c>
      <c r="S65" s="33" t="s">
        <v>59</v>
      </c>
      <c r="T65" s="33" t="s">
        <v>99</v>
      </c>
      <c r="U65" s="33" t="s">
        <v>97</v>
      </c>
      <c r="V65" s="33" t="s">
        <v>88</v>
      </c>
      <c r="W65" s="34" t="s">
        <v>680</v>
      </c>
    </row>
    <row r="66" customFormat="false" ht="30" hidden="false" customHeight="true" outlineLevel="0" collapsed="false">
      <c r="A66" s="39" t="s">
        <v>1498</v>
      </c>
      <c r="B66" s="40" t="s">
        <v>682</v>
      </c>
      <c r="C66" s="40" t="s">
        <v>681</v>
      </c>
      <c r="D66" s="39" t="s">
        <v>587</v>
      </c>
      <c r="E66" s="40" t="s">
        <v>589</v>
      </c>
      <c r="F66" s="40" t="s">
        <v>1486</v>
      </c>
      <c r="G66" s="39" t="s">
        <v>275</v>
      </c>
      <c r="H66" s="39" t="s">
        <v>201</v>
      </c>
      <c r="I66" s="39" t="s">
        <v>685</v>
      </c>
      <c r="J66" s="40" t="s">
        <v>683</v>
      </c>
      <c r="K66" s="39" t="s">
        <v>597</v>
      </c>
      <c r="L66" s="39" t="s">
        <v>609</v>
      </c>
      <c r="M66" s="39" t="s">
        <v>203</v>
      </c>
      <c r="N66" s="40" t="s">
        <v>687</v>
      </c>
      <c r="O66" s="40" t="s">
        <v>688</v>
      </c>
      <c r="P66" s="39" t="s">
        <v>108</v>
      </c>
      <c r="Q66" s="39" t="s">
        <v>335</v>
      </c>
      <c r="R66" s="40" t="s">
        <v>1429</v>
      </c>
      <c r="S66" s="39" t="s">
        <v>59</v>
      </c>
      <c r="T66" s="39" t="s">
        <v>99</v>
      </c>
      <c r="U66" s="39" t="s">
        <v>93</v>
      </c>
      <c r="V66" s="39" t="s">
        <v>84</v>
      </c>
      <c r="W66" s="40" t="s">
        <v>691</v>
      </c>
    </row>
    <row r="67" customFormat="false" ht="30" hidden="false" customHeight="true" outlineLevel="0" collapsed="false">
      <c r="A67" s="33" t="s">
        <v>1499</v>
      </c>
      <c r="B67" s="34" t="s">
        <v>694</v>
      </c>
      <c r="C67" s="34" t="s">
        <v>693</v>
      </c>
      <c r="D67" s="33" t="s">
        <v>587</v>
      </c>
      <c r="E67" s="34" t="s">
        <v>589</v>
      </c>
      <c r="F67" s="34" t="s">
        <v>1486</v>
      </c>
      <c r="G67" s="33" t="s">
        <v>275</v>
      </c>
      <c r="H67" s="33" t="s">
        <v>696</v>
      </c>
      <c r="I67" s="33" t="s">
        <v>697</v>
      </c>
      <c r="J67" s="34" t="s">
        <v>695</v>
      </c>
      <c r="K67" s="33" t="s">
        <v>597</v>
      </c>
      <c r="L67" s="33" t="s">
        <v>609</v>
      </c>
      <c r="M67" s="33" t="s">
        <v>203</v>
      </c>
      <c r="N67" s="34" t="s">
        <v>699</v>
      </c>
      <c r="O67" s="34" t="s">
        <v>247</v>
      </c>
      <c r="P67" s="33" t="s">
        <v>106</v>
      </c>
      <c r="Q67" s="33" t="s">
        <v>286</v>
      </c>
      <c r="R67" s="34" t="s">
        <v>1429</v>
      </c>
      <c r="S67" s="33" t="s">
        <v>59</v>
      </c>
      <c r="T67" s="33" t="s">
        <v>99</v>
      </c>
      <c r="U67" s="33" t="s">
        <v>93</v>
      </c>
      <c r="V67" s="33" t="s">
        <v>84</v>
      </c>
      <c r="W67" s="34" t="s">
        <v>700</v>
      </c>
    </row>
    <row r="68" customFormat="false" ht="30" hidden="false" customHeight="true" outlineLevel="0" collapsed="false">
      <c r="A68" s="39" t="s">
        <v>1500</v>
      </c>
      <c r="B68" s="40" t="s">
        <v>702</v>
      </c>
      <c r="C68" s="40" t="s">
        <v>701</v>
      </c>
      <c r="D68" s="39" t="s">
        <v>587</v>
      </c>
      <c r="E68" s="40" t="s">
        <v>589</v>
      </c>
      <c r="F68" s="40" t="s">
        <v>1486</v>
      </c>
      <c r="G68" s="39" t="s">
        <v>275</v>
      </c>
      <c r="H68" s="39" t="s">
        <v>201</v>
      </c>
      <c r="I68" s="39" t="s">
        <v>194</v>
      </c>
      <c r="J68" s="40" t="s">
        <v>703</v>
      </c>
      <c r="K68" s="39" t="s">
        <v>597</v>
      </c>
      <c r="L68" s="39" t="s">
        <v>609</v>
      </c>
      <c r="M68" s="39" t="s">
        <v>203</v>
      </c>
      <c r="N68" s="40" t="s">
        <v>705</v>
      </c>
      <c r="O68" s="40" t="s">
        <v>300</v>
      </c>
      <c r="P68" s="39" t="s">
        <v>108</v>
      </c>
      <c r="Q68" s="39" t="s">
        <v>335</v>
      </c>
      <c r="R68" s="40" t="s">
        <v>1429</v>
      </c>
      <c r="S68" s="39" t="s">
        <v>69</v>
      </c>
      <c r="T68" s="39" t="s">
        <v>81</v>
      </c>
      <c r="U68" s="39" t="s">
        <v>95</v>
      </c>
      <c r="V68" s="39" t="s">
        <v>86</v>
      </c>
      <c r="W68" s="40" t="s">
        <v>706</v>
      </c>
    </row>
    <row r="69" customFormat="false" ht="30" hidden="false" customHeight="true" outlineLevel="0" collapsed="false">
      <c r="A69" s="33" t="s">
        <v>1501</v>
      </c>
      <c r="B69" s="34" t="s">
        <v>709</v>
      </c>
      <c r="C69" s="34" t="s">
        <v>708</v>
      </c>
      <c r="D69" s="33" t="s">
        <v>587</v>
      </c>
      <c r="E69" s="34" t="s">
        <v>589</v>
      </c>
      <c r="F69" s="34" t="s">
        <v>1486</v>
      </c>
      <c r="G69" s="33" t="s">
        <v>275</v>
      </c>
      <c r="H69" s="33" t="s">
        <v>279</v>
      </c>
      <c r="I69" s="33" t="s">
        <v>711</v>
      </c>
      <c r="J69" s="34" t="s">
        <v>710</v>
      </c>
      <c r="K69" s="33" t="s">
        <v>597</v>
      </c>
      <c r="L69" s="33" t="s">
        <v>609</v>
      </c>
      <c r="M69" s="33" t="s">
        <v>203</v>
      </c>
      <c r="N69" s="34" t="s">
        <v>713</v>
      </c>
      <c r="O69" s="34" t="s">
        <v>285</v>
      </c>
      <c r="P69" s="33" t="s">
        <v>110</v>
      </c>
      <c r="Q69" s="33" t="s">
        <v>714</v>
      </c>
      <c r="R69" s="34" t="s">
        <v>1429</v>
      </c>
      <c r="S69" s="33" t="s">
        <v>59</v>
      </c>
      <c r="T69" s="33" t="s">
        <v>99</v>
      </c>
      <c r="U69" s="33" t="s">
        <v>95</v>
      </c>
      <c r="V69" s="33" t="s">
        <v>86</v>
      </c>
      <c r="W69" s="34" t="s">
        <v>715</v>
      </c>
    </row>
    <row r="70" customFormat="false" ht="30" hidden="false" customHeight="true" outlineLevel="0" collapsed="false">
      <c r="A70" s="39" t="s">
        <v>1502</v>
      </c>
      <c r="B70" s="40" t="s">
        <v>717</v>
      </c>
      <c r="C70" s="40" t="s">
        <v>716</v>
      </c>
      <c r="D70" s="39" t="s">
        <v>587</v>
      </c>
      <c r="E70" s="40" t="s">
        <v>589</v>
      </c>
      <c r="F70" s="40" t="s">
        <v>1486</v>
      </c>
      <c r="G70" s="39" t="s">
        <v>275</v>
      </c>
      <c r="H70" s="39" t="s">
        <v>279</v>
      </c>
      <c r="I70" s="39" t="s">
        <v>719</v>
      </c>
      <c r="J70" s="40" t="s">
        <v>718</v>
      </c>
      <c r="K70" s="39" t="s">
        <v>597</v>
      </c>
      <c r="L70" s="39" t="s">
        <v>609</v>
      </c>
      <c r="M70" s="39" t="s">
        <v>203</v>
      </c>
      <c r="N70" s="40" t="s">
        <v>721</v>
      </c>
      <c r="O70" s="40" t="s">
        <v>181</v>
      </c>
      <c r="P70" s="39" t="s">
        <v>110</v>
      </c>
      <c r="Q70" s="39" t="s">
        <v>714</v>
      </c>
      <c r="R70" s="40" t="s">
        <v>1429</v>
      </c>
      <c r="S70" s="39" t="s">
        <v>59</v>
      </c>
      <c r="T70" s="39" t="s">
        <v>99</v>
      </c>
      <c r="U70" s="39" t="s">
        <v>95</v>
      </c>
      <c r="V70" s="39" t="s">
        <v>86</v>
      </c>
      <c r="W70" s="40" t="s">
        <v>722</v>
      </c>
    </row>
    <row r="71" customFormat="false" ht="30" hidden="false" customHeight="true" outlineLevel="0" collapsed="false">
      <c r="A71" s="33" t="s">
        <v>1503</v>
      </c>
      <c r="B71" s="34" t="s">
        <v>724</v>
      </c>
      <c r="C71" s="34" t="s">
        <v>723</v>
      </c>
      <c r="D71" s="33" t="s">
        <v>587</v>
      </c>
      <c r="E71" s="34" t="s">
        <v>589</v>
      </c>
      <c r="F71" s="34" t="s">
        <v>1486</v>
      </c>
      <c r="G71" s="33" t="s">
        <v>275</v>
      </c>
      <c r="H71" s="33" t="s">
        <v>279</v>
      </c>
      <c r="I71" s="33" t="s">
        <v>726</v>
      </c>
      <c r="J71" s="34" t="s">
        <v>725</v>
      </c>
      <c r="K71" s="33" t="s">
        <v>597</v>
      </c>
      <c r="L71" s="33" t="s">
        <v>609</v>
      </c>
      <c r="M71" s="33" t="s">
        <v>203</v>
      </c>
      <c r="N71" s="34" t="s">
        <v>728</v>
      </c>
      <c r="O71" s="34" t="s">
        <v>181</v>
      </c>
      <c r="P71" s="33" t="s">
        <v>110</v>
      </c>
      <c r="Q71" s="33" t="s">
        <v>714</v>
      </c>
      <c r="R71" s="34" t="s">
        <v>1429</v>
      </c>
      <c r="S71" s="33" t="s">
        <v>59</v>
      </c>
      <c r="T71" s="33" t="s">
        <v>81</v>
      </c>
      <c r="U71" s="33" t="s">
        <v>97</v>
      </c>
      <c r="V71" s="33" t="s">
        <v>88</v>
      </c>
      <c r="W71" s="34" t="s">
        <v>729</v>
      </c>
    </row>
    <row r="72" customFormat="false" ht="30" hidden="false" customHeight="true" outlineLevel="0" collapsed="false">
      <c r="A72" s="39" t="s">
        <v>1504</v>
      </c>
      <c r="B72" s="40" t="s">
        <v>731</v>
      </c>
      <c r="C72" s="40" t="s">
        <v>730</v>
      </c>
      <c r="D72" s="39" t="s">
        <v>587</v>
      </c>
      <c r="E72" s="40" t="s">
        <v>589</v>
      </c>
      <c r="F72" s="40" t="s">
        <v>1486</v>
      </c>
      <c r="G72" s="39" t="s">
        <v>275</v>
      </c>
      <c r="H72" s="39" t="s">
        <v>201</v>
      </c>
      <c r="I72" s="39" t="s">
        <v>194</v>
      </c>
      <c r="J72" s="40" t="s">
        <v>732</v>
      </c>
      <c r="K72" s="39" t="s">
        <v>597</v>
      </c>
      <c r="L72" s="39" t="s">
        <v>609</v>
      </c>
      <c r="M72" s="39" t="s">
        <v>97</v>
      </c>
      <c r="N72" s="40" t="s">
        <v>734</v>
      </c>
      <c r="O72" s="40" t="s">
        <v>348</v>
      </c>
      <c r="P72" s="39" t="s">
        <v>110</v>
      </c>
      <c r="Q72" s="39" t="s">
        <v>714</v>
      </c>
      <c r="R72" s="40" t="s">
        <v>1429</v>
      </c>
      <c r="S72" s="39" t="s">
        <v>59</v>
      </c>
      <c r="T72" s="39" t="s">
        <v>99</v>
      </c>
      <c r="U72" s="39" t="s">
        <v>97</v>
      </c>
      <c r="V72" s="39" t="s">
        <v>88</v>
      </c>
      <c r="W72" s="40"/>
    </row>
    <row r="73" customFormat="false" ht="30" hidden="false" customHeight="true" outlineLevel="0" collapsed="false">
      <c r="A73" s="33" t="s">
        <v>1505</v>
      </c>
      <c r="B73" s="34" t="s">
        <v>741</v>
      </c>
      <c r="C73" s="34" t="s">
        <v>740</v>
      </c>
      <c r="D73" s="33" t="s">
        <v>736</v>
      </c>
      <c r="E73" s="34" t="s">
        <v>738</v>
      </c>
      <c r="F73" s="34" t="s">
        <v>1469</v>
      </c>
      <c r="G73" s="33" t="s">
        <v>275</v>
      </c>
      <c r="H73" s="33" t="s">
        <v>279</v>
      </c>
      <c r="I73" s="33" t="s">
        <v>322</v>
      </c>
      <c r="J73" s="34" t="s">
        <v>742</v>
      </c>
      <c r="K73" s="33" t="s">
        <v>480</v>
      </c>
      <c r="L73" s="33" t="s">
        <v>486</v>
      </c>
      <c r="M73" s="33" t="s">
        <v>203</v>
      </c>
      <c r="N73" s="34" t="s">
        <v>743</v>
      </c>
      <c r="O73" s="34" t="s">
        <v>551</v>
      </c>
      <c r="P73" s="33" t="s">
        <v>108</v>
      </c>
      <c r="Q73" s="33" t="s">
        <v>335</v>
      </c>
      <c r="R73" s="34" t="s">
        <v>1429</v>
      </c>
      <c r="S73" s="33" t="s">
        <v>69</v>
      </c>
      <c r="T73" s="33" t="s">
        <v>81</v>
      </c>
      <c r="U73" s="33" t="s">
        <v>95</v>
      </c>
      <c r="V73" s="33" t="s">
        <v>86</v>
      </c>
      <c r="W73" s="34" t="s">
        <v>744</v>
      </c>
    </row>
    <row r="74" customFormat="false" ht="30" hidden="false" customHeight="true" outlineLevel="0" collapsed="false">
      <c r="A74" s="39" t="s">
        <v>1506</v>
      </c>
      <c r="B74" s="40" t="s">
        <v>746</v>
      </c>
      <c r="C74" s="40" t="s">
        <v>745</v>
      </c>
      <c r="D74" s="39" t="s">
        <v>736</v>
      </c>
      <c r="E74" s="40" t="s">
        <v>738</v>
      </c>
      <c r="F74" s="40" t="s">
        <v>1469</v>
      </c>
      <c r="G74" s="39" t="s">
        <v>275</v>
      </c>
      <c r="H74" s="39" t="s">
        <v>279</v>
      </c>
      <c r="I74" s="39" t="s">
        <v>322</v>
      </c>
      <c r="J74" s="40" t="s">
        <v>747</v>
      </c>
      <c r="K74" s="39" t="s">
        <v>480</v>
      </c>
      <c r="L74" s="39" t="s">
        <v>486</v>
      </c>
      <c r="M74" s="39" t="s">
        <v>203</v>
      </c>
      <c r="N74" s="40" t="s">
        <v>750</v>
      </c>
      <c r="O74" s="40" t="s">
        <v>179</v>
      </c>
      <c r="P74" s="39" t="s">
        <v>106</v>
      </c>
      <c r="Q74" s="39" t="s">
        <v>286</v>
      </c>
      <c r="R74" s="40" t="s">
        <v>1429</v>
      </c>
      <c r="S74" s="39" t="s">
        <v>69</v>
      </c>
      <c r="T74" s="39" t="s">
        <v>81</v>
      </c>
      <c r="U74" s="39" t="s">
        <v>95</v>
      </c>
      <c r="V74" s="39" t="s">
        <v>86</v>
      </c>
      <c r="W74" s="40"/>
    </row>
    <row r="75" customFormat="false" ht="30" hidden="false" customHeight="true" outlineLevel="0" collapsed="false">
      <c r="A75" s="33" t="s">
        <v>1507</v>
      </c>
      <c r="B75" s="34" t="s">
        <v>752</v>
      </c>
      <c r="C75" s="34" t="s">
        <v>751</v>
      </c>
      <c r="D75" s="33" t="s">
        <v>736</v>
      </c>
      <c r="E75" s="34" t="s">
        <v>738</v>
      </c>
      <c r="F75" s="34" t="s">
        <v>1469</v>
      </c>
      <c r="G75" s="33" t="s">
        <v>275</v>
      </c>
      <c r="H75" s="33" t="s">
        <v>279</v>
      </c>
      <c r="I75" s="33" t="s">
        <v>322</v>
      </c>
      <c r="J75" s="34" t="s">
        <v>753</v>
      </c>
      <c r="K75" s="33" t="s">
        <v>480</v>
      </c>
      <c r="L75" s="33" t="s">
        <v>486</v>
      </c>
      <c r="M75" s="33" t="s">
        <v>97</v>
      </c>
      <c r="N75" s="34" t="s">
        <v>754</v>
      </c>
      <c r="O75" s="34" t="s">
        <v>179</v>
      </c>
      <c r="P75" s="33" t="s">
        <v>106</v>
      </c>
      <c r="Q75" s="33" t="s">
        <v>286</v>
      </c>
      <c r="R75" s="34" t="s">
        <v>1429</v>
      </c>
      <c r="S75" s="33" t="s">
        <v>69</v>
      </c>
      <c r="T75" s="33" t="s">
        <v>81</v>
      </c>
      <c r="U75" s="33" t="s">
        <v>97</v>
      </c>
      <c r="V75" s="33" t="s">
        <v>88</v>
      </c>
      <c r="W75" s="34"/>
    </row>
    <row r="76" customFormat="false" ht="30" hidden="false" customHeight="true" outlineLevel="0" collapsed="false">
      <c r="A76" s="39" t="s">
        <v>1508</v>
      </c>
      <c r="B76" s="40" t="s">
        <v>757</v>
      </c>
      <c r="C76" s="40" t="s">
        <v>756</v>
      </c>
      <c r="D76" s="39" t="s">
        <v>736</v>
      </c>
      <c r="E76" s="40" t="s">
        <v>738</v>
      </c>
      <c r="F76" s="40" t="s">
        <v>1469</v>
      </c>
      <c r="G76" s="39" t="s">
        <v>275</v>
      </c>
      <c r="H76" s="39" t="s">
        <v>279</v>
      </c>
      <c r="I76" s="39" t="s">
        <v>322</v>
      </c>
      <c r="J76" s="40" t="s">
        <v>758</v>
      </c>
      <c r="K76" s="39" t="s">
        <v>480</v>
      </c>
      <c r="L76" s="39" t="s">
        <v>486</v>
      </c>
      <c r="M76" s="39" t="s">
        <v>97</v>
      </c>
      <c r="N76" s="40" t="s">
        <v>760</v>
      </c>
      <c r="O76" s="40" t="s">
        <v>300</v>
      </c>
      <c r="P76" s="39" t="s">
        <v>108</v>
      </c>
      <c r="Q76" s="39" t="s">
        <v>335</v>
      </c>
      <c r="R76" s="40" t="s">
        <v>1429</v>
      </c>
      <c r="S76" s="39" t="s">
        <v>69</v>
      </c>
      <c r="T76" s="39" t="s">
        <v>81</v>
      </c>
      <c r="U76" s="39" t="s">
        <v>97</v>
      </c>
      <c r="V76" s="39" t="s">
        <v>88</v>
      </c>
      <c r="W76" s="40"/>
    </row>
    <row r="77" customFormat="false" ht="30" hidden="false" customHeight="true" outlineLevel="0" collapsed="false">
      <c r="A77" s="33" t="s">
        <v>1509</v>
      </c>
      <c r="B77" s="34" t="s">
        <v>765</v>
      </c>
      <c r="C77" s="34" t="s">
        <v>756</v>
      </c>
      <c r="D77" s="33" t="s">
        <v>762</v>
      </c>
      <c r="E77" s="34" t="s">
        <v>763</v>
      </c>
      <c r="F77" s="34" t="s">
        <v>1469</v>
      </c>
      <c r="G77" s="33" t="s">
        <v>275</v>
      </c>
      <c r="H77" s="33" t="s">
        <v>279</v>
      </c>
      <c r="I77" s="33" t="s">
        <v>322</v>
      </c>
      <c r="J77" s="34" t="s">
        <v>766</v>
      </c>
      <c r="K77" s="33" t="s">
        <v>480</v>
      </c>
      <c r="L77" s="33" t="s">
        <v>486</v>
      </c>
      <c r="M77" s="33" t="s">
        <v>97</v>
      </c>
      <c r="N77" s="34" t="s">
        <v>767</v>
      </c>
      <c r="O77" s="34" t="s">
        <v>300</v>
      </c>
      <c r="P77" s="33" t="s">
        <v>108</v>
      </c>
      <c r="Q77" s="33" t="s">
        <v>335</v>
      </c>
      <c r="R77" s="34" t="s">
        <v>1429</v>
      </c>
      <c r="S77" s="33" t="s">
        <v>81</v>
      </c>
      <c r="T77" s="33" t="s">
        <v>103</v>
      </c>
      <c r="U77" s="33" t="s">
        <v>97</v>
      </c>
      <c r="V77" s="33" t="s">
        <v>90</v>
      </c>
      <c r="W77" s="34" t="s">
        <v>768</v>
      </c>
    </row>
    <row r="78" customFormat="false" ht="30" hidden="false" customHeight="true" outlineLevel="0" collapsed="false">
      <c r="A78" s="39" t="s">
        <v>1510</v>
      </c>
      <c r="B78" s="40" t="s">
        <v>770</v>
      </c>
      <c r="C78" s="40" t="s">
        <v>769</v>
      </c>
      <c r="D78" s="39" t="s">
        <v>762</v>
      </c>
      <c r="E78" s="40" t="s">
        <v>763</v>
      </c>
      <c r="F78" s="40" t="s">
        <v>1469</v>
      </c>
      <c r="G78" s="39" t="s">
        <v>275</v>
      </c>
      <c r="H78" s="39" t="s">
        <v>279</v>
      </c>
      <c r="I78" s="39" t="s">
        <v>322</v>
      </c>
      <c r="J78" s="40" t="s">
        <v>771</v>
      </c>
      <c r="K78" s="39" t="s">
        <v>480</v>
      </c>
      <c r="L78" s="39" t="s">
        <v>486</v>
      </c>
      <c r="M78" s="39" t="s">
        <v>203</v>
      </c>
      <c r="N78" s="40" t="s">
        <v>772</v>
      </c>
      <c r="O78" s="40" t="s">
        <v>179</v>
      </c>
      <c r="P78" s="39" t="s">
        <v>106</v>
      </c>
      <c r="Q78" s="39" t="s">
        <v>286</v>
      </c>
      <c r="R78" s="40" t="s">
        <v>1429</v>
      </c>
      <c r="S78" s="39" t="s">
        <v>81</v>
      </c>
      <c r="T78" s="39" t="s">
        <v>103</v>
      </c>
      <c r="U78" s="39" t="s">
        <v>97</v>
      </c>
      <c r="V78" s="39" t="s">
        <v>88</v>
      </c>
      <c r="W78" s="40"/>
    </row>
    <row r="79" customFormat="false" ht="30" hidden="false" customHeight="true" outlineLevel="0" collapsed="false">
      <c r="A79" s="33" t="s">
        <v>1511</v>
      </c>
      <c r="B79" s="34" t="s">
        <v>773</v>
      </c>
      <c r="C79" s="34" t="s">
        <v>465</v>
      </c>
      <c r="D79" s="33" t="s">
        <v>762</v>
      </c>
      <c r="E79" s="34" t="s">
        <v>763</v>
      </c>
      <c r="F79" s="34" t="s">
        <v>1469</v>
      </c>
      <c r="G79" s="33" t="s">
        <v>275</v>
      </c>
      <c r="H79" s="33" t="s">
        <v>331</v>
      </c>
      <c r="I79" s="33" t="s">
        <v>332</v>
      </c>
      <c r="J79" s="34" t="s">
        <v>774</v>
      </c>
      <c r="K79" s="33" t="s">
        <v>480</v>
      </c>
      <c r="L79" s="33" t="s">
        <v>486</v>
      </c>
      <c r="M79" s="33" t="s">
        <v>97</v>
      </c>
      <c r="N79" s="34" t="s">
        <v>469</v>
      </c>
      <c r="O79" s="34" t="s">
        <v>410</v>
      </c>
      <c r="P79" s="33" t="s">
        <v>108</v>
      </c>
      <c r="Q79" s="33" t="s">
        <v>335</v>
      </c>
      <c r="R79" s="34" t="s">
        <v>1429</v>
      </c>
      <c r="S79" s="33" t="s">
        <v>81</v>
      </c>
      <c r="T79" s="33" t="s">
        <v>103</v>
      </c>
      <c r="U79" s="33" t="s">
        <v>97</v>
      </c>
      <c r="V79" s="33" t="s">
        <v>90</v>
      </c>
      <c r="W79" s="34"/>
    </row>
    <row r="80" customFormat="false" ht="30" hidden="false" customHeight="true" outlineLevel="0" collapsed="false">
      <c r="A80" s="39" t="s">
        <v>1512</v>
      </c>
      <c r="B80" s="40" t="s">
        <v>785</v>
      </c>
      <c r="C80" s="40" t="s">
        <v>784</v>
      </c>
      <c r="D80" s="39" t="s">
        <v>776</v>
      </c>
      <c r="E80" s="40" t="s">
        <v>778</v>
      </c>
      <c r="F80" s="40" t="s">
        <v>1513</v>
      </c>
      <c r="G80" s="39" t="s">
        <v>275</v>
      </c>
      <c r="H80" s="39" t="s">
        <v>279</v>
      </c>
      <c r="I80" s="39" t="s">
        <v>322</v>
      </c>
      <c r="J80" s="40" t="s">
        <v>786</v>
      </c>
      <c r="K80" s="39" t="s">
        <v>363</v>
      </c>
      <c r="L80" s="39" t="s">
        <v>789</v>
      </c>
      <c r="M80" s="39" t="s">
        <v>203</v>
      </c>
      <c r="N80" s="40" t="s">
        <v>787</v>
      </c>
      <c r="O80" s="40" t="s">
        <v>788</v>
      </c>
      <c r="P80" s="39" t="s">
        <v>108</v>
      </c>
      <c r="Q80" s="39" t="s">
        <v>335</v>
      </c>
      <c r="R80" s="40" t="s">
        <v>1429</v>
      </c>
      <c r="S80" s="39" t="s">
        <v>67</v>
      </c>
      <c r="T80" s="39" t="s">
        <v>81</v>
      </c>
      <c r="U80" s="39" t="s">
        <v>95</v>
      </c>
      <c r="V80" s="39" t="s">
        <v>86</v>
      </c>
      <c r="W80" s="40" t="s">
        <v>791</v>
      </c>
    </row>
    <row r="81" customFormat="false" ht="30" hidden="false" customHeight="true" outlineLevel="0" collapsed="false">
      <c r="A81" s="33" t="s">
        <v>1514</v>
      </c>
      <c r="B81" s="34" t="s">
        <v>793</v>
      </c>
      <c r="C81" s="34" t="s">
        <v>792</v>
      </c>
      <c r="D81" s="33" t="s">
        <v>776</v>
      </c>
      <c r="E81" s="34" t="s">
        <v>778</v>
      </c>
      <c r="F81" s="34" t="s">
        <v>1513</v>
      </c>
      <c r="G81" s="33" t="s">
        <v>275</v>
      </c>
      <c r="H81" s="33" t="s">
        <v>279</v>
      </c>
      <c r="I81" s="33" t="s">
        <v>322</v>
      </c>
      <c r="J81" s="34" t="s">
        <v>794</v>
      </c>
      <c r="K81" s="33" t="s">
        <v>363</v>
      </c>
      <c r="L81" s="33" t="s">
        <v>789</v>
      </c>
      <c r="M81" s="33" t="s">
        <v>203</v>
      </c>
      <c r="N81" s="34" t="s">
        <v>795</v>
      </c>
      <c r="O81" s="34" t="s">
        <v>179</v>
      </c>
      <c r="P81" s="33" t="s">
        <v>108</v>
      </c>
      <c r="Q81" s="33" t="s">
        <v>796</v>
      </c>
      <c r="R81" s="34" t="s">
        <v>1429</v>
      </c>
      <c r="S81" s="33" t="s">
        <v>67</v>
      </c>
      <c r="T81" s="33" t="s">
        <v>81</v>
      </c>
      <c r="U81" s="33" t="s">
        <v>95</v>
      </c>
      <c r="V81" s="33" t="s">
        <v>86</v>
      </c>
      <c r="W81" s="34"/>
    </row>
    <row r="82" customFormat="false" ht="30" hidden="false" customHeight="true" outlineLevel="0" collapsed="false">
      <c r="A82" s="39" t="s">
        <v>1515</v>
      </c>
      <c r="B82" s="40" t="s">
        <v>798</v>
      </c>
      <c r="C82" s="40" t="s">
        <v>797</v>
      </c>
      <c r="D82" s="39" t="s">
        <v>776</v>
      </c>
      <c r="E82" s="40" t="s">
        <v>778</v>
      </c>
      <c r="F82" s="40" t="s">
        <v>1513</v>
      </c>
      <c r="G82" s="39" t="s">
        <v>275</v>
      </c>
      <c r="H82" s="39" t="s">
        <v>533</v>
      </c>
      <c r="I82" s="39" t="s">
        <v>800</v>
      </c>
      <c r="J82" s="40" t="s">
        <v>799</v>
      </c>
      <c r="K82" s="39" t="s">
        <v>363</v>
      </c>
      <c r="L82" s="39" t="s">
        <v>789</v>
      </c>
      <c r="M82" s="39" t="s">
        <v>97</v>
      </c>
      <c r="N82" s="40" t="s">
        <v>801</v>
      </c>
      <c r="O82" s="40" t="s">
        <v>300</v>
      </c>
      <c r="P82" s="39" t="s">
        <v>106</v>
      </c>
      <c r="Q82" s="39" t="s">
        <v>286</v>
      </c>
      <c r="R82" s="40" t="s">
        <v>1429</v>
      </c>
      <c r="S82" s="39" t="s">
        <v>67</v>
      </c>
      <c r="T82" s="39" t="s">
        <v>81</v>
      </c>
      <c r="U82" s="39" t="s">
        <v>97</v>
      </c>
      <c r="V82" s="39" t="s">
        <v>90</v>
      </c>
      <c r="W82" s="40"/>
    </row>
    <row r="83" customFormat="false" ht="30" hidden="false" customHeight="true" outlineLevel="0" collapsed="false">
      <c r="A83" s="33" t="s">
        <v>1516</v>
      </c>
      <c r="B83" s="34" t="s">
        <v>803</v>
      </c>
      <c r="C83" s="34" t="s">
        <v>802</v>
      </c>
      <c r="D83" s="33" t="s">
        <v>776</v>
      </c>
      <c r="E83" s="34" t="s">
        <v>778</v>
      </c>
      <c r="F83" s="34" t="s">
        <v>1513</v>
      </c>
      <c r="G83" s="33" t="s">
        <v>275</v>
      </c>
      <c r="H83" s="33" t="s">
        <v>533</v>
      </c>
      <c r="I83" s="33" t="s">
        <v>534</v>
      </c>
      <c r="J83" s="34" t="s">
        <v>804</v>
      </c>
      <c r="K83" s="33" t="s">
        <v>363</v>
      </c>
      <c r="L83" s="33" t="s">
        <v>789</v>
      </c>
      <c r="M83" s="33" t="s">
        <v>203</v>
      </c>
      <c r="N83" s="34" t="s">
        <v>806</v>
      </c>
      <c r="O83" s="34" t="s">
        <v>807</v>
      </c>
      <c r="P83" s="33" t="s">
        <v>108</v>
      </c>
      <c r="Q83" s="33" t="s">
        <v>335</v>
      </c>
      <c r="R83" s="34" t="s">
        <v>1429</v>
      </c>
      <c r="S83" s="33" t="s">
        <v>67</v>
      </c>
      <c r="T83" s="33" t="s">
        <v>81</v>
      </c>
      <c r="U83" s="33" t="s">
        <v>95</v>
      </c>
      <c r="V83" s="33" t="s">
        <v>86</v>
      </c>
      <c r="W83" s="34"/>
    </row>
    <row r="84" customFormat="false" ht="30" hidden="false" customHeight="true" outlineLevel="0" collapsed="false">
      <c r="A84" s="39" t="s">
        <v>1517</v>
      </c>
      <c r="B84" s="40" t="s">
        <v>809</v>
      </c>
      <c r="C84" s="40" t="s">
        <v>808</v>
      </c>
      <c r="D84" s="39" t="s">
        <v>776</v>
      </c>
      <c r="E84" s="40" t="s">
        <v>778</v>
      </c>
      <c r="F84" s="40" t="s">
        <v>1513</v>
      </c>
      <c r="G84" s="39" t="s">
        <v>275</v>
      </c>
      <c r="H84" s="39" t="s">
        <v>533</v>
      </c>
      <c r="I84" s="39" t="s">
        <v>534</v>
      </c>
      <c r="J84" s="40" t="s">
        <v>810</v>
      </c>
      <c r="K84" s="39" t="s">
        <v>363</v>
      </c>
      <c r="L84" s="39" t="s">
        <v>789</v>
      </c>
      <c r="M84" s="39" t="s">
        <v>203</v>
      </c>
      <c r="N84" s="40" t="s">
        <v>811</v>
      </c>
      <c r="O84" s="40" t="s">
        <v>285</v>
      </c>
      <c r="P84" s="39" t="s">
        <v>108</v>
      </c>
      <c r="Q84" s="39" t="s">
        <v>335</v>
      </c>
      <c r="R84" s="40" t="s">
        <v>1429</v>
      </c>
      <c r="S84" s="39" t="s">
        <v>67</v>
      </c>
      <c r="T84" s="39" t="s">
        <v>81</v>
      </c>
      <c r="U84" s="39" t="s">
        <v>93</v>
      </c>
      <c r="V84" s="39" t="s">
        <v>84</v>
      </c>
      <c r="W84" s="40" t="s">
        <v>812</v>
      </c>
    </row>
    <row r="85" customFormat="false" ht="30" hidden="false" customHeight="true" outlineLevel="0" collapsed="false">
      <c r="A85" s="33" t="s">
        <v>1518</v>
      </c>
      <c r="B85" s="34" t="s">
        <v>814</v>
      </c>
      <c r="C85" s="34" t="s">
        <v>813</v>
      </c>
      <c r="D85" s="33" t="s">
        <v>776</v>
      </c>
      <c r="E85" s="34" t="s">
        <v>778</v>
      </c>
      <c r="F85" s="34" t="s">
        <v>1513</v>
      </c>
      <c r="G85" s="33" t="s">
        <v>275</v>
      </c>
      <c r="H85" s="33" t="s">
        <v>533</v>
      </c>
      <c r="I85" s="33" t="s">
        <v>534</v>
      </c>
      <c r="J85" s="34" t="s">
        <v>815</v>
      </c>
      <c r="K85" s="33" t="s">
        <v>363</v>
      </c>
      <c r="L85" s="33" t="s">
        <v>789</v>
      </c>
      <c r="M85" s="33" t="s">
        <v>203</v>
      </c>
      <c r="N85" s="34" t="s">
        <v>816</v>
      </c>
      <c r="O85" s="34" t="s">
        <v>817</v>
      </c>
      <c r="P85" s="33" t="s">
        <v>108</v>
      </c>
      <c r="Q85" s="33" t="s">
        <v>335</v>
      </c>
      <c r="R85" s="34" t="s">
        <v>1429</v>
      </c>
      <c r="S85" s="33" t="s">
        <v>67</v>
      </c>
      <c r="T85" s="33" t="s">
        <v>81</v>
      </c>
      <c r="U85" s="33" t="s">
        <v>95</v>
      </c>
      <c r="V85" s="33" t="s">
        <v>86</v>
      </c>
      <c r="W85" s="34"/>
    </row>
    <row r="86" customFormat="false" ht="30" hidden="false" customHeight="true" outlineLevel="0" collapsed="false">
      <c r="A86" s="39" t="s">
        <v>1519</v>
      </c>
      <c r="B86" s="40" t="s">
        <v>819</v>
      </c>
      <c r="C86" s="40" t="s">
        <v>818</v>
      </c>
      <c r="D86" s="39" t="s">
        <v>776</v>
      </c>
      <c r="E86" s="40" t="s">
        <v>778</v>
      </c>
      <c r="F86" s="40" t="s">
        <v>1513</v>
      </c>
      <c r="G86" s="39" t="s">
        <v>275</v>
      </c>
      <c r="H86" s="39" t="s">
        <v>520</v>
      </c>
      <c r="I86" s="39" t="s">
        <v>194</v>
      </c>
      <c r="J86" s="40" t="s">
        <v>820</v>
      </c>
      <c r="K86" s="39" t="s">
        <v>363</v>
      </c>
      <c r="L86" s="39" t="s">
        <v>789</v>
      </c>
      <c r="M86" s="39" t="s">
        <v>97</v>
      </c>
      <c r="N86" s="40" t="s">
        <v>822</v>
      </c>
      <c r="O86" s="40" t="s">
        <v>523</v>
      </c>
      <c r="P86" s="39" t="s">
        <v>108</v>
      </c>
      <c r="Q86" s="39" t="s">
        <v>335</v>
      </c>
      <c r="R86" s="40" t="s">
        <v>1429</v>
      </c>
      <c r="S86" s="39" t="s">
        <v>67</v>
      </c>
      <c r="T86" s="39" t="s">
        <v>81</v>
      </c>
      <c r="U86" s="39" t="s">
        <v>97</v>
      </c>
      <c r="V86" s="39" t="s">
        <v>88</v>
      </c>
      <c r="W86" s="40"/>
    </row>
    <row r="87" customFormat="false" ht="30" hidden="false" customHeight="true" outlineLevel="0" collapsed="false">
      <c r="A87" s="33" t="s">
        <v>1520</v>
      </c>
      <c r="B87" s="34" t="s">
        <v>837</v>
      </c>
      <c r="C87" s="34" t="s">
        <v>835</v>
      </c>
      <c r="D87" s="33" t="s">
        <v>824</v>
      </c>
      <c r="E87" s="34" t="s">
        <v>826</v>
      </c>
      <c r="F87" s="34" t="s">
        <v>1521</v>
      </c>
      <c r="G87" s="33" t="s">
        <v>836</v>
      </c>
      <c r="H87" s="33" t="s">
        <v>201</v>
      </c>
      <c r="I87" s="33" t="s">
        <v>194</v>
      </c>
      <c r="J87" s="34" t="s">
        <v>838</v>
      </c>
      <c r="K87" s="33" t="s">
        <v>834</v>
      </c>
      <c r="L87" s="33" t="s">
        <v>842</v>
      </c>
      <c r="M87" s="33" t="s">
        <v>203</v>
      </c>
      <c r="N87" s="34" t="s">
        <v>840</v>
      </c>
      <c r="O87" s="34" t="s">
        <v>179</v>
      </c>
      <c r="P87" s="33" t="s">
        <v>108</v>
      </c>
      <c r="Q87" s="33" t="s">
        <v>841</v>
      </c>
      <c r="R87" s="34" t="s">
        <v>1429</v>
      </c>
      <c r="S87" s="33" t="s">
        <v>71</v>
      </c>
      <c r="T87" s="33" t="s">
        <v>81</v>
      </c>
      <c r="U87" s="33" t="s">
        <v>95</v>
      </c>
      <c r="V87" s="33" t="s">
        <v>86</v>
      </c>
      <c r="W87" s="34" t="s">
        <v>844</v>
      </c>
    </row>
    <row r="88" customFormat="false" ht="30" hidden="false" customHeight="true" outlineLevel="0" collapsed="false">
      <c r="A88" s="39" t="s">
        <v>1522</v>
      </c>
      <c r="B88" s="40" t="s">
        <v>847</v>
      </c>
      <c r="C88" s="40" t="s">
        <v>845</v>
      </c>
      <c r="D88" s="39" t="s">
        <v>824</v>
      </c>
      <c r="E88" s="40" t="s">
        <v>826</v>
      </c>
      <c r="F88" s="40" t="s">
        <v>1521</v>
      </c>
      <c r="G88" s="39" t="s">
        <v>846</v>
      </c>
      <c r="H88" s="39" t="s">
        <v>201</v>
      </c>
      <c r="I88" s="39" t="s">
        <v>194</v>
      </c>
      <c r="J88" s="40" t="s">
        <v>848</v>
      </c>
      <c r="K88" s="39" t="s">
        <v>834</v>
      </c>
      <c r="L88" s="39" t="s">
        <v>842</v>
      </c>
      <c r="M88" s="39" t="s">
        <v>203</v>
      </c>
      <c r="N88" s="40" t="s">
        <v>849</v>
      </c>
      <c r="O88" s="40" t="s">
        <v>179</v>
      </c>
      <c r="P88" s="39" t="s">
        <v>108</v>
      </c>
      <c r="Q88" s="39" t="s">
        <v>841</v>
      </c>
      <c r="R88" s="40" t="s">
        <v>1429</v>
      </c>
      <c r="S88" s="39" t="s">
        <v>71</v>
      </c>
      <c r="T88" s="39" t="s">
        <v>81</v>
      </c>
      <c r="U88" s="39" t="s">
        <v>95</v>
      </c>
      <c r="V88" s="39" t="s">
        <v>86</v>
      </c>
      <c r="W88" s="40"/>
    </row>
    <row r="89" customFormat="false" ht="30" hidden="false" customHeight="true" outlineLevel="0" collapsed="false">
      <c r="A89" s="33" t="s">
        <v>1523</v>
      </c>
      <c r="B89" s="34" t="s">
        <v>851</v>
      </c>
      <c r="C89" s="34" t="s">
        <v>850</v>
      </c>
      <c r="D89" s="33" t="s">
        <v>824</v>
      </c>
      <c r="E89" s="34" t="s">
        <v>826</v>
      </c>
      <c r="F89" s="34" t="s">
        <v>1521</v>
      </c>
      <c r="G89" s="33" t="s">
        <v>275</v>
      </c>
      <c r="H89" s="33" t="s">
        <v>279</v>
      </c>
      <c r="I89" s="33" t="s">
        <v>322</v>
      </c>
      <c r="J89" s="34" t="s">
        <v>852</v>
      </c>
      <c r="K89" s="33" t="s">
        <v>834</v>
      </c>
      <c r="L89" s="33" t="s">
        <v>842</v>
      </c>
      <c r="M89" s="33" t="s">
        <v>97</v>
      </c>
      <c r="N89" s="34" t="s">
        <v>853</v>
      </c>
      <c r="O89" s="34" t="s">
        <v>179</v>
      </c>
      <c r="P89" s="33" t="s">
        <v>108</v>
      </c>
      <c r="Q89" s="33" t="s">
        <v>854</v>
      </c>
      <c r="R89" s="34" t="s">
        <v>1429</v>
      </c>
      <c r="S89" s="33" t="s">
        <v>71</v>
      </c>
      <c r="T89" s="33" t="s">
        <v>81</v>
      </c>
      <c r="U89" s="33" t="s">
        <v>97</v>
      </c>
      <c r="V89" s="33" t="s">
        <v>88</v>
      </c>
      <c r="W89" s="34"/>
    </row>
    <row r="90" customFormat="false" ht="30" hidden="false" customHeight="true" outlineLevel="0" collapsed="false">
      <c r="A90" s="39" t="s">
        <v>1524</v>
      </c>
      <c r="B90" s="40" t="s">
        <v>857</v>
      </c>
      <c r="C90" s="40" t="s">
        <v>856</v>
      </c>
      <c r="D90" s="39" t="s">
        <v>824</v>
      </c>
      <c r="E90" s="40" t="s">
        <v>826</v>
      </c>
      <c r="F90" s="40" t="s">
        <v>1428</v>
      </c>
      <c r="G90" s="39" t="s">
        <v>194</v>
      </c>
      <c r="H90" s="39" t="s">
        <v>279</v>
      </c>
      <c r="I90" s="39" t="s">
        <v>322</v>
      </c>
      <c r="J90" s="40" t="s">
        <v>858</v>
      </c>
      <c r="K90" s="39" t="s">
        <v>214</v>
      </c>
      <c r="L90" s="39" t="s">
        <v>194</v>
      </c>
      <c r="M90" s="39" t="s">
        <v>203</v>
      </c>
      <c r="N90" s="40" t="s">
        <v>860</v>
      </c>
      <c r="O90" s="40" t="s">
        <v>179</v>
      </c>
      <c r="P90" s="39" t="s">
        <v>110</v>
      </c>
      <c r="Q90" s="39" t="s">
        <v>861</v>
      </c>
      <c r="R90" s="40" t="s">
        <v>1429</v>
      </c>
      <c r="S90" s="39" t="s">
        <v>75</v>
      </c>
      <c r="T90" s="39" t="s">
        <v>81</v>
      </c>
      <c r="U90" s="39" t="s">
        <v>95</v>
      </c>
      <c r="V90" s="39" t="s">
        <v>86</v>
      </c>
      <c r="W90" s="40" t="s">
        <v>862</v>
      </c>
    </row>
    <row r="91" customFormat="false" ht="30" hidden="false" customHeight="true" outlineLevel="0" collapsed="false">
      <c r="A91" s="33" t="s">
        <v>1525</v>
      </c>
      <c r="B91" s="34" t="s">
        <v>864</v>
      </c>
      <c r="C91" s="34" t="s">
        <v>863</v>
      </c>
      <c r="D91" s="33" t="s">
        <v>824</v>
      </c>
      <c r="E91" s="34" t="s">
        <v>826</v>
      </c>
      <c r="F91" s="34" t="s">
        <v>1428</v>
      </c>
      <c r="G91" s="33" t="s">
        <v>194</v>
      </c>
      <c r="H91" s="33" t="s">
        <v>279</v>
      </c>
      <c r="I91" s="33" t="s">
        <v>322</v>
      </c>
      <c r="J91" s="34" t="s">
        <v>865</v>
      </c>
      <c r="K91" s="33" t="s">
        <v>214</v>
      </c>
      <c r="L91" s="33" t="s">
        <v>194</v>
      </c>
      <c r="M91" s="33" t="s">
        <v>203</v>
      </c>
      <c r="N91" s="34" t="s">
        <v>860</v>
      </c>
      <c r="O91" s="34" t="s">
        <v>179</v>
      </c>
      <c r="P91" s="33" t="s">
        <v>110</v>
      </c>
      <c r="Q91" s="33" t="s">
        <v>861</v>
      </c>
      <c r="R91" s="34" t="s">
        <v>1429</v>
      </c>
      <c r="S91" s="33" t="s">
        <v>75</v>
      </c>
      <c r="T91" s="33" t="s">
        <v>81</v>
      </c>
      <c r="U91" s="33" t="s">
        <v>95</v>
      </c>
      <c r="V91" s="33" t="s">
        <v>86</v>
      </c>
      <c r="W91" s="34"/>
    </row>
    <row r="92" customFormat="false" ht="30" hidden="false" customHeight="true" outlineLevel="0" collapsed="false">
      <c r="A92" s="39" t="s">
        <v>1526</v>
      </c>
      <c r="B92" s="40" t="s">
        <v>867</v>
      </c>
      <c r="C92" s="40" t="s">
        <v>866</v>
      </c>
      <c r="D92" s="39" t="s">
        <v>824</v>
      </c>
      <c r="E92" s="40" t="s">
        <v>826</v>
      </c>
      <c r="F92" s="40" t="s">
        <v>1428</v>
      </c>
      <c r="G92" s="39" t="s">
        <v>194</v>
      </c>
      <c r="H92" s="39" t="s">
        <v>201</v>
      </c>
      <c r="I92" s="39" t="s">
        <v>194</v>
      </c>
      <c r="J92" s="40" t="s">
        <v>868</v>
      </c>
      <c r="K92" s="39" t="s">
        <v>214</v>
      </c>
      <c r="L92" s="39" t="s">
        <v>194</v>
      </c>
      <c r="M92" s="39" t="s">
        <v>203</v>
      </c>
      <c r="N92" s="40" t="s">
        <v>870</v>
      </c>
      <c r="O92" s="40" t="s">
        <v>179</v>
      </c>
      <c r="P92" s="39" t="s">
        <v>110</v>
      </c>
      <c r="Q92" s="39" t="s">
        <v>871</v>
      </c>
      <c r="R92" s="40" t="s">
        <v>1429</v>
      </c>
      <c r="S92" s="39" t="s">
        <v>75</v>
      </c>
      <c r="T92" s="39" t="s">
        <v>81</v>
      </c>
      <c r="U92" s="39" t="s">
        <v>97</v>
      </c>
      <c r="V92" s="39" t="s">
        <v>88</v>
      </c>
      <c r="W92" s="40"/>
    </row>
    <row r="93" customFormat="false" ht="30" hidden="false" customHeight="true" outlineLevel="0" collapsed="false">
      <c r="A93" s="33" t="s">
        <v>1527</v>
      </c>
      <c r="B93" s="34" t="s">
        <v>874</v>
      </c>
      <c r="C93" s="34" t="s">
        <v>873</v>
      </c>
      <c r="D93" s="33" t="s">
        <v>824</v>
      </c>
      <c r="E93" s="34" t="s">
        <v>826</v>
      </c>
      <c r="F93" s="34" t="s">
        <v>1428</v>
      </c>
      <c r="G93" s="33" t="s">
        <v>194</v>
      </c>
      <c r="H93" s="33" t="s">
        <v>201</v>
      </c>
      <c r="I93" s="33" t="s">
        <v>194</v>
      </c>
      <c r="J93" s="34" t="s">
        <v>875</v>
      </c>
      <c r="K93" s="33" t="s">
        <v>214</v>
      </c>
      <c r="L93" s="33" t="s">
        <v>194</v>
      </c>
      <c r="M93" s="33" t="s">
        <v>203</v>
      </c>
      <c r="N93" s="34" t="s">
        <v>876</v>
      </c>
      <c r="O93" s="34" t="s">
        <v>179</v>
      </c>
      <c r="P93" s="33" t="s">
        <v>110</v>
      </c>
      <c r="Q93" s="33" t="s">
        <v>871</v>
      </c>
      <c r="R93" s="34" t="s">
        <v>1429</v>
      </c>
      <c r="S93" s="33" t="s">
        <v>75</v>
      </c>
      <c r="T93" s="33" t="s">
        <v>81</v>
      </c>
      <c r="U93" s="33" t="s">
        <v>97</v>
      </c>
      <c r="V93" s="33" t="s">
        <v>88</v>
      </c>
      <c r="W93" s="34"/>
    </row>
    <row r="94" customFormat="false" ht="30" hidden="false" customHeight="true" outlineLevel="0" collapsed="false">
      <c r="A94" s="39" t="s">
        <v>1528</v>
      </c>
      <c r="B94" s="40" t="s">
        <v>879</v>
      </c>
      <c r="C94" s="40" t="s">
        <v>878</v>
      </c>
      <c r="D94" s="39" t="s">
        <v>824</v>
      </c>
      <c r="E94" s="40" t="s">
        <v>826</v>
      </c>
      <c r="F94" s="40" t="s">
        <v>1428</v>
      </c>
      <c r="G94" s="39" t="s">
        <v>194</v>
      </c>
      <c r="H94" s="39" t="s">
        <v>201</v>
      </c>
      <c r="I94" s="39" t="s">
        <v>194</v>
      </c>
      <c r="J94" s="40" t="s">
        <v>880</v>
      </c>
      <c r="K94" s="39" t="s">
        <v>214</v>
      </c>
      <c r="L94" s="39" t="s">
        <v>194</v>
      </c>
      <c r="M94" s="39" t="s">
        <v>203</v>
      </c>
      <c r="N94" s="40" t="s">
        <v>881</v>
      </c>
      <c r="O94" s="40" t="s">
        <v>179</v>
      </c>
      <c r="P94" s="39" t="s">
        <v>110</v>
      </c>
      <c r="Q94" s="39" t="s">
        <v>871</v>
      </c>
      <c r="R94" s="40" t="s">
        <v>1429</v>
      </c>
      <c r="S94" s="39" t="s">
        <v>75</v>
      </c>
      <c r="T94" s="39" t="s">
        <v>81</v>
      </c>
      <c r="U94" s="39" t="s">
        <v>95</v>
      </c>
      <c r="V94" s="39" t="s">
        <v>86</v>
      </c>
      <c r="W94" s="40" t="s">
        <v>882</v>
      </c>
    </row>
    <row r="95" customFormat="false" ht="30" hidden="false" customHeight="true" outlineLevel="0" collapsed="false">
      <c r="A95" s="33" t="s">
        <v>1529</v>
      </c>
      <c r="B95" s="34" t="s">
        <v>889</v>
      </c>
      <c r="C95" s="34" t="s">
        <v>888</v>
      </c>
      <c r="D95" s="33" t="s">
        <v>884</v>
      </c>
      <c r="E95" s="34" t="s">
        <v>886</v>
      </c>
      <c r="F95" s="34" t="s">
        <v>1513</v>
      </c>
      <c r="G95" s="33" t="s">
        <v>275</v>
      </c>
      <c r="H95" s="33" t="s">
        <v>279</v>
      </c>
      <c r="I95" s="33" t="s">
        <v>322</v>
      </c>
      <c r="J95" s="34" t="s">
        <v>890</v>
      </c>
      <c r="K95" s="33" t="s">
        <v>363</v>
      </c>
      <c r="L95" s="33" t="s">
        <v>789</v>
      </c>
      <c r="M95" s="33" t="s">
        <v>97</v>
      </c>
      <c r="N95" s="34" t="s">
        <v>891</v>
      </c>
      <c r="O95" s="34" t="s">
        <v>300</v>
      </c>
      <c r="P95" s="33" t="s">
        <v>108</v>
      </c>
      <c r="Q95" s="33" t="s">
        <v>892</v>
      </c>
      <c r="R95" s="34" t="s">
        <v>1429</v>
      </c>
      <c r="S95" s="33" t="s">
        <v>81</v>
      </c>
      <c r="T95" s="33" t="s">
        <v>103</v>
      </c>
      <c r="U95" s="33" t="s">
        <v>97</v>
      </c>
      <c r="V95" s="33" t="s">
        <v>90</v>
      </c>
      <c r="W95" s="34" t="s">
        <v>893</v>
      </c>
    </row>
    <row r="96" customFormat="false" ht="30" hidden="false" customHeight="true" outlineLevel="0" collapsed="false">
      <c r="A96" s="39" t="s">
        <v>1530</v>
      </c>
      <c r="B96" s="40" t="s">
        <v>896</v>
      </c>
      <c r="C96" s="40" t="s">
        <v>895</v>
      </c>
      <c r="D96" s="39" t="s">
        <v>884</v>
      </c>
      <c r="E96" s="40" t="s">
        <v>886</v>
      </c>
      <c r="F96" s="40" t="s">
        <v>1428</v>
      </c>
      <c r="G96" s="39" t="s">
        <v>194</v>
      </c>
      <c r="H96" s="39" t="s">
        <v>201</v>
      </c>
      <c r="I96" s="39" t="s">
        <v>194</v>
      </c>
      <c r="J96" s="40" t="s">
        <v>897</v>
      </c>
      <c r="K96" s="39" t="s">
        <v>214</v>
      </c>
      <c r="L96" s="39" t="s">
        <v>194</v>
      </c>
      <c r="M96" s="39" t="s">
        <v>97</v>
      </c>
      <c r="N96" s="40" t="s">
        <v>180</v>
      </c>
      <c r="O96" s="40" t="s">
        <v>180</v>
      </c>
      <c r="P96" s="39" t="s">
        <v>110</v>
      </c>
      <c r="Q96" s="39" t="s">
        <v>898</v>
      </c>
      <c r="R96" s="40" t="s">
        <v>1429</v>
      </c>
      <c r="S96" s="39" t="s">
        <v>79</v>
      </c>
      <c r="T96" s="39" t="s">
        <v>103</v>
      </c>
      <c r="U96" s="39" t="s">
        <v>97</v>
      </c>
      <c r="V96" s="39" t="s">
        <v>90</v>
      </c>
      <c r="W96" s="40" t="s">
        <v>899</v>
      </c>
    </row>
    <row r="97" customFormat="false" ht="30" hidden="false" customHeight="true" outlineLevel="0" collapsed="false">
      <c r="A97" s="33" t="s">
        <v>1531</v>
      </c>
      <c r="B97" s="34" t="s">
        <v>901</v>
      </c>
      <c r="C97" s="34" t="s">
        <v>900</v>
      </c>
      <c r="D97" s="33" t="s">
        <v>884</v>
      </c>
      <c r="E97" s="34" t="s">
        <v>886</v>
      </c>
      <c r="F97" s="34" t="s">
        <v>1428</v>
      </c>
      <c r="G97" s="33" t="s">
        <v>194</v>
      </c>
      <c r="H97" s="33" t="s">
        <v>201</v>
      </c>
      <c r="I97" s="33" t="s">
        <v>194</v>
      </c>
      <c r="J97" s="34" t="s">
        <v>902</v>
      </c>
      <c r="K97" s="33" t="s">
        <v>214</v>
      </c>
      <c r="L97" s="33" t="s">
        <v>194</v>
      </c>
      <c r="M97" s="33" t="s">
        <v>203</v>
      </c>
      <c r="N97" s="34" t="s">
        <v>903</v>
      </c>
      <c r="O97" s="34" t="s">
        <v>179</v>
      </c>
      <c r="P97" s="33" t="s">
        <v>110</v>
      </c>
      <c r="Q97" s="33" t="s">
        <v>904</v>
      </c>
      <c r="R97" s="34" t="s">
        <v>1429</v>
      </c>
      <c r="S97" s="33" t="s">
        <v>75</v>
      </c>
      <c r="T97" s="33" t="s">
        <v>81</v>
      </c>
      <c r="U97" s="33" t="s">
        <v>97</v>
      </c>
      <c r="V97" s="33" t="s">
        <v>88</v>
      </c>
      <c r="W97" s="34"/>
    </row>
    <row r="98" customFormat="false" ht="30" hidden="false" customHeight="true" outlineLevel="0" collapsed="false">
      <c r="A98" s="39" t="s">
        <v>1532</v>
      </c>
      <c r="B98" s="40" t="s">
        <v>919</v>
      </c>
      <c r="C98" s="40" t="s">
        <v>917</v>
      </c>
      <c r="D98" s="39" t="s">
        <v>906</v>
      </c>
      <c r="E98" s="40" t="s">
        <v>908</v>
      </c>
      <c r="F98" s="40" t="s">
        <v>1533</v>
      </c>
      <c r="G98" s="39" t="s">
        <v>918</v>
      </c>
      <c r="H98" s="39" t="s">
        <v>279</v>
      </c>
      <c r="I98" s="39" t="s">
        <v>296</v>
      </c>
      <c r="J98" s="40" t="s">
        <v>920</v>
      </c>
      <c r="K98" s="39" t="s">
        <v>916</v>
      </c>
      <c r="L98" s="39" t="s">
        <v>924</v>
      </c>
      <c r="M98" s="39" t="s">
        <v>203</v>
      </c>
      <c r="N98" s="40" t="s">
        <v>922</v>
      </c>
      <c r="O98" s="40" t="s">
        <v>551</v>
      </c>
      <c r="P98" s="39" t="s">
        <v>106</v>
      </c>
      <c r="Q98" s="39" t="s">
        <v>923</v>
      </c>
      <c r="R98" s="40" t="s">
        <v>1429</v>
      </c>
      <c r="S98" s="39" t="s">
        <v>61</v>
      </c>
      <c r="T98" s="39" t="s">
        <v>81</v>
      </c>
      <c r="U98" s="39" t="s">
        <v>95</v>
      </c>
      <c r="V98" s="39" t="s">
        <v>86</v>
      </c>
      <c r="W98" s="40" t="s">
        <v>926</v>
      </c>
    </row>
    <row r="99" customFormat="false" ht="30" hidden="false" customHeight="true" outlineLevel="0" collapsed="false">
      <c r="A99" s="33" t="s">
        <v>1534</v>
      </c>
      <c r="B99" s="34" t="s">
        <v>928</v>
      </c>
      <c r="C99" s="34" t="s">
        <v>927</v>
      </c>
      <c r="D99" s="33" t="s">
        <v>906</v>
      </c>
      <c r="E99" s="34" t="s">
        <v>908</v>
      </c>
      <c r="F99" s="34" t="s">
        <v>1533</v>
      </c>
      <c r="G99" s="33" t="s">
        <v>918</v>
      </c>
      <c r="H99" s="33" t="s">
        <v>279</v>
      </c>
      <c r="I99" s="33" t="s">
        <v>296</v>
      </c>
      <c r="J99" s="34" t="s">
        <v>929</v>
      </c>
      <c r="K99" s="33" t="s">
        <v>916</v>
      </c>
      <c r="L99" s="33" t="s">
        <v>924</v>
      </c>
      <c r="M99" s="33" t="s">
        <v>203</v>
      </c>
      <c r="N99" s="34" t="s">
        <v>922</v>
      </c>
      <c r="O99" s="34" t="s">
        <v>551</v>
      </c>
      <c r="P99" s="33" t="s">
        <v>106</v>
      </c>
      <c r="Q99" s="33" t="s">
        <v>923</v>
      </c>
      <c r="R99" s="34" t="s">
        <v>1429</v>
      </c>
      <c r="S99" s="33" t="s">
        <v>61</v>
      </c>
      <c r="T99" s="33" t="s">
        <v>81</v>
      </c>
      <c r="U99" s="33" t="s">
        <v>95</v>
      </c>
      <c r="V99" s="33" t="s">
        <v>86</v>
      </c>
      <c r="W99" s="34" t="s">
        <v>926</v>
      </c>
    </row>
    <row r="100" customFormat="false" ht="30" hidden="false" customHeight="true" outlineLevel="0" collapsed="false">
      <c r="A100" s="39" t="s">
        <v>1535</v>
      </c>
      <c r="B100" s="40" t="s">
        <v>931</v>
      </c>
      <c r="C100" s="40" t="s">
        <v>930</v>
      </c>
      <c r="D100" s="39" t="s">
        <v>906</v>
      </c>
      <c r="E100" s="40" t="s">
        <v>908</v>
      </c>
      <c r="F100" s="40" t="s">
        <v>1533</v>
      </c>
      <c r="G100" s="39" t="s">
        <v>918</v>
      </c>
      <c r="H100" s="39" t="s">
        <v>279</v>
      </c>
      <c r="I100" s="39" t="s">
        <v>296</v>
      </c>
      <c r="J100" s="40" t="s">
        <v>932</v>
      </c>
      <c r="K100" s="39" t="s">
        <v>916</v>
      </c>
      <c r="L100" s="39" t="s">
        <v>924</v>
      </c>
      <c r="M100" s="39" t="s">
        <v>203</v>
      </c>
      <c r="N100" s="40" t="s">
        <v>922</v>
      </c>
      <c r="O100" s="40" t="s">
        <v>551</v>
      </c>
      <c r="P100" s="39" t="s">
        <v>106</v>
      </c>
      <c r="Q100" s="39" t="s">
        <v>923</v>
      </c>
      <c r="R100" s="40" t="s">
        <v>1429</v>
      </c>
      <c r="S100" s="39" t="s">
        <v>61</v>
      </c>
      <c r="T100" s="39" t="s">
        <v>81</v>
      </c>
      <c r="U100" s="39" t="s">
        <v>93</v>
      </c>
      <c r="V100" s="39" t="s">
        <v>84</v>
      </c>
      <c r="W100" s="40" t="s">
        <v>926</v>
      </c>
    </row>
    <row r="101" customFormat="false" ht="30" hidden="false" customHeight="true" outlineLevel="0" collapsed="false">
      <c r="A101" s="33" t="s">
        <v>1536</v>
      </c>
      <c r="B101" s="34" t="s">
        <v>934</v>
      </c>
      <c r="C101" s="34" t="s">
        <v>933</v>
      </c>
      <c r="D101" s="33" t="s">
        <v>906</v>
      </c>
      <c r="E101" s="34" t="s">
        <v>908</v>
      </c>
      <c r="F101" s="34" t="s">
        <v>1533</v>
      </c>
      <c r="G101" s="33" t="s">
        <v>918</v>
      </c>
      <c r="H101" s="33" t="s">
        <v>279</v>
      </c>
      <c r="I101" s="33" t="s">
        <v>296</v>
      </c>
      <c r="J101" s="34" t="s">
        <v>935</v>
      </c>
      <c r="K101" s="33" t="s">
        <v>916</v>
      </c>
      <c r="L101" s="33" t="s">
        <v>924</v>
      </c>
      <c r="M101" s="33" t="s">
        <v>203</v>
      </c>
      <c r="N101" s="34" t="s">
        <v>922</v>
      </c>
      <c r="O101" s="34" t="s">
        <v>551</v>
      </c>
      <c r="P101" s="33" t="s">
        <v>106</v>
      </c>
      <c r="Q101" s="33" t="s">
        <v>923</v>
      </c>
      <c r="R101" s="34" t="s">
        <v>1429</v>
      </c>
      <c r="S101" s="33" t="s">
        <v>61</v>
      </c>
      <c r="T101" s="33" t="s">
        <v>81</v>
      </c>
      <c r="U101" s="33" t="s">
        <v>93</v>
      </c>
      <c r="V101" s="33" t="s">
        <v>84</v>
      </c>
      <c r="W101" s="34" t="s">
        <v>926</v>
      </c>
    </row>
    <row r="102" customFormat="false" ht="30" hidden="false" customHeight="true" outlineLevel="0" collapsed="false">
      <c r="A102" s="39" t="s">
        <v>1537</v>
      </c>
      <c r="B102" s="40" t="s">
        <v>937</v>
      </c>
      <c r="C102" s="40" t="s">
        <v>936</v>
      </c>
      <c r="D102" s="39" t="s">
        <v>906</v>
      </c>
      <c r="E102" s="40" t="s">
        <v>908</v>
      </c>
      <c r="F102" s="40" t="s">
        <v>1533</v>
      </c>
      <c r="G102" s="39" t="s">
        <v>918</v>
      </c>
      <c r="H102" s="39" t="s">
        <v>279</v>
      </c>
      <c r="I102" s="39" t="s">
        <v>296</v>
      </c>
      <c r="J102" s="40" t="s">
        <v>938</v>
      </c>
      <c r="K102" s="39" t="s">
        <v>916</v>
      </c>
      <c r="L102" s="39" t="s">
        <v>924</v>
      </c>
      <c r="M102" s="39" t="s">
        <v>203</v>
      </c>
      <c r="N102" s="40" t="s">
        <v>922</v>
      </c>
      <c r="O102" s="40" t="s">
        <v>551</v>
      </c>
      <c r="P102" s="39" t="s">
        <v>106</v>
      </c>
      <c r="Q102" s="39" t="s">
        <v>923</v>
      </c>
      <c r="R102" s="40" t="s">
        <v>1429</v>
      </c>
      <c r="S102" s="39" t="s">
        <v>61</v>
      </c>
      <c r="T102" s="39" t="s">
        <v>81</v>
      </c>
      <c r="U102" s="39" t="s">
        <v>95</v>
      </c>
      <c r="V102" s="39" t="s">
        <v>86</v>
      </c>
      <c r="W102" s="40" t="s">
        <v>926</v>
      </c>
    </row>
    <row r="103" customFormat="false" ht="30" hidden="false" customHeight="true" outlineLevel="0" collapsed="false">
      <c r="A103" s="33" t="s">
        <v>1538</v>
      </c>
      <c r="B103" s="34" t="s">
        <v>940</v>
      </c>
      <c r="C103" s="34" t="s">
        <v>939</v>
      </c>
      <c r="D103" s="33" t="s">
        <v>906</v>
      </c>
      <c r="E103" s="34" t="s">
        <v>908</v>
      </c>
      <c r="F103" s="34" t="s">
        <v>1533</v>
      </c>
      <c r="G103" s="33" t="s">
        <v>918</v>
      </c>
      <c r="H103" s="33" t="s">
        <v>279</v>
      </c>
      <c r="I103" s="33" t="s">
        <v>296</v>
      </c>
      <c r="J103" s="34" t="s">
        <v>941</v>
      </c>
      <c r="K103" s="33" t="s">
        <v>916</v>
      </c>
      <c r="L103" s="33" t="s">
        <v>924</v>
      </c>
      <c r="M103" s="33" t="s">
        <v>203</v>
      </c>
      <c r="N103" s="34" t="s">
        <v>922</v>
      </c>
      <c r="O103" s="34" t="s">
        <v>551</v>
      </c>
      <c r="P103" s="33" t="s">
        <v>106</v>
      </c>
      <c r="Q103" s="33" t="s">
        <v>923</v>
      </c>
      <c r="R103" s="34" t="s">
        <v>1429</v>
      </c>
      <c r="S103" s="33" t="s">
        <v>61</v>
      </c>
      <c r="T103" s="33" t="s">
        <v>81</v>
      </c>
      <c r="U103" s="33" t="s">
        <v>95</v>
      </c>
      <c r="V103" s="33" t="s">
        <v>86</v>
      </c>
      <c r="W103" s="34" t="s">
        <v>926</v>
      </c>
    </row>
    <row r="104" customFormat="false" ht="30" hidden="false" customHeight="true" outlineLevel="0" collapsed="false">
      <c r="A104" s="39" t="s">
        <v>1539</v>
      </c>
      <c r="B104" s="40" t="s">
        <v>943</v>
      </c>
      <c r="C104" s="40" t="s">
        <v>942</v>
      </c>
      <c r="D104" s="39" t="s">
        <v>906</v>
      </c>
      <c r="E104" s="40" t="s">
        <v>908</v>
      </c>
      <c r="F104" s="40" t="s">
        <v>1533</v>
      </c>
      <c r="G104" s="39" t="s">
        <v>275</v>
      </c>
      <c r="H104" s="39" t="s">
        <v>279</v>
      </c>
      <c r="I104" s="39" t="s">
        <v>296</v>
      </c>
      <c r="J104" s="40" t="s">
        <v>944</v>
      </c>
      <c r="K104" s="39" t="s">
        <v>916</v>
      </c>
      <c r="L104" s="39" t="s">
        <v>924</v>
      </c>
      <c r="M104" s="39" t="s">
        <v>203</v>
      </c>
      <c r="N104" s="40" t="s">
        <v>945</v>
      </c>
      <c r="O104" s="40" t="s">
        <v>300</v>
      </c>
      <c r="P104" s="39" t="s">
        <v>108</v>
      </c>
      <c r="Q104" s="39" t="s">
        <v>335</v>
      </c>
      <c r="R104" s="40" t="s">
        <v>1429</v>
      </c>
      <c r="S104" s="39" t="s">
        <v>61</v>
      </c>
      <c r="T104" s="39" t="s">
        <v>81</v>
      </c>
      <c r="U104" s="39" t="s">
        <v>95</v>
      </c>
      <c r="V104" s="39" t="s">
        <v>86</v>
      </c>
      <c r="W104" s="40" t="s">
        <v>946</v>
      </c>
    </row>
    <row r="105" customFormat="false" ht="30" hidden="false" customHeight="true" outlineLevel="0" collapsed="false">
      <c r="A105" s="33" t="s">
        <v>1540</v>
      </c>
      <c r="B105" s="34" t="s">
        <v>949</v>
      </c>
      <c r="C105" s="34" t="s">
        <v>948</v>
      </c>
      <c r="D105" s="33" t="s">
        <v>906</v>
      </c>
      <c r="E105" s="34" t="s">
        <v>908</v>
      </c>
      <c r="F105" s="34" t="s">
        <v>1533</v>
      </c>
      <c r="G105" s="33" t="s">
        <v>275</v>
      </c>
      <c r="H105" s="33" t="s">
        <v>279</v>
      </c>
      <c r="I105" s="33" t="s">
        <v>296</v>
      </c>
      <c r="J105" s="34" t="s">
        <v>950</v>
      </c>
      <c r="K105" s="33" t="s">
        <v>916</v>
      </c>
      <c r="L105" s="33" t="s">
        <v>924</v>
      </c>
      <c r="M105" s="33" t="s">
        <v>97</v>
      </c>
      <c r="N105" s="34" t="s">
        <v>562</v>
      </c>
      <c r="O105" s="34" t="s">
        <v>300</v>
      </c>
      <c r="P105" s="33" t="s">
        <v>106</v>
      </c>
      <c r="Q105" s="33" t="s">
        <v>923</v>
      </c>
      <c r="R105" s="34" t="s">
        <v>1429</v>
      </c>
      <c r="S105" s="33" t="s">
        <v>61</v>
      </c>
      <c r="T105" s="33" t="s">
        <v>81</v>
      </c>
      <c r="U105" s="33" t="s">
        <v>97</v>
      </c>
      <c r="V105" s="33" t="s">
        <v>88</v>
      </c>
      <c r="W105" s="34"/>
    </row>
    <row r="106" customFormat="false" ht="30" hidden="false" customHeight="true" outlineLevel="0" collapsed="false">
      <c r="A106" s="39" t="s">
        <v>1541</v>
      </c>
      <c r="B106" s="40" t="s">
        <v>951</v>
      </c>
      <c r="C106" s="40" t="s">
        <v>274</v>
      </c>
      <c r="D106" s="39" t="s">
        <v>906</v>
      </c>
      <c r="E106" s="40" t="s">
        <v>908</v>
      </c>
      <c r="F106" s="40" t="s">
        <v>1533</v>
      </c>
      <c r="G106" s="39" t="s">
        <v>275</v>
      </c>
      <c r="H106" s="39" t="s">
        <v>279</v>
      </c>
      <c r="I106" s="39" t="s">
        <v>953</v>
      </c>
      <c r="J106" s="40" t="s">
        <v>952</v>
      </c>
      <c r="K106" s="39" t="s">
        <v>916</v>
      </c>
      <c r="L106" s="39" t="s">
        <v>924</v>
      </c>
      <c r="M106" s="39" t="s">
        <v>203</v>
      </c>
      <c r="N106" s="40" t="s">
        <v>955</v>
      </c>
      <c r="O106" s="40" t="s">
        <v>956</v>
      </c>
      <c r="P106" s="39" t="s">
        <v>106</v>
      </c>
      <c r="Q106" s="39" t="s">
        <v>286</v>
      </c>
      <c r="R106" s="40" t="s">
        <v>1429</v>
      </c>
      <c r="S106" s="39" t="s">
        <v>61</v>
      </c>
      <c r="T106" s="39" t="s">
        <v>81</v>
      </c>
      <c r="U106" s="39" t="s">
        <v>95</v>
      </c>
      <c r="V106" s="39" t="s">
        <v>86</v>
      </c>
      <c r="W106" s="40"/>
    </row>
    <row r="107" customFormat="false" ht="30" hidden="false" customHeight="true" outlineLevel="0" collapsed="false">
      <c r="A107" s="33" t="s">
        <v>1542</v>
      </c>
      <c r="B107" s="34" t="s">
        <v>959</v>
      </c>
      <c r="C107" s="34" t="s">
        <v>958</v>
      </c>
      <c r="D107" s="33" t="s">
        <v>906</v>
      </c>
      <c r="E107" s="34" t="s">
        <v>908</v>
      </c>
      <c r="F107" s="34" t="s">
        <v>1533</v>
      </c>
      <c r="G107" s="33" t="s">
        <v>275</v>
      </c>
      <c r="H107" s="33" t="s">
        <v>201</v>
      </c>
      <c r="I107" s="33" t="s">
        <v>194</v>
      </c>
      <c r="J107" s="34" t="s">
        <v>960</v>
      </c>
      <c r="K107" s="33" t="s">
        <v>916</v>
      </c>
      <c r="L107" s="33" t="s">
        <v>924</v>
      </c>
      <c r="M107" s="33" t="s">
        <v>203</v>
      </c>
      <c r="N107" s="34" t="s">
        <v>961</v>
      </c>
      <c r="O107" s="34" t="s">
        <v>200</v>
      </c>
      <c r="P107" s="33" t="s">
        <v>108</v>
      </c>
      <c r="Q107" s="33" t="s">
        <v>962</v>
      </c>
      <c r="R107" s="34" t="s">
        <v>1429</v>
      </c>
      <c r="S107" s="33" t="s">
        <v>61</v>
      </c>
      <c r="T107" s="33" t="s">
        <v>81</v>
      </c>
      <c r="U107" s="33" t="s">
        <v>95</v>
      </c>
      <c r="V107" s="33" t="s">
        <v>86</v>
      </c>
      <c r="W107" s="34" t="s">
        <v>963</v>
      </c>
    </row>
    <row r="108" customFormat="false" ht="30" hidden="false" customHeight="true" outlineLevel="0" collapsed="false">
      <c r="A108" s="39" t="s">
        <v>1543</v>
      </c>
      <c r="B108" s="40" t="s">
        <v>965</v>
      </c>
      <c r="C108" s="40" t="s">
        <v>964</v>
      </c>
      <c r="D108" s="39" t="s">
        <v>906</v>
      </c>
      <c r="E108" s="40" t="s">
        <v>908</v>
      </c>
      <c r="F108" s="40" t="s">
        <v>1533</v>
      </c>
      <c r="G108" s="39" t="s">
        <v>275</v>
      </c>
      <c r="H108" s="39" t="s">
        <v>520</v>
      </c>
      <c r="I108" s="39" t="s">
        <v>194</v>
      </c>
      <c r="J108" s="40" t="s">
        <v>966</v>
      </c>
      <c r="K108" s="39" t="s">
        <v>916</v>
      </c>
      <c r="L108" s="39" t="s">
        <v>924</v>
      </c>
      <c r="M108" s="39" t="s">
        <v>203</v>
      </c>
      <c r="N108" s="40" t="s">
        <v>968</v>
      </c>
      <c r="O108" s="40" t="s">
        <v>969</v>
      </c>
      <c r="P108" s="39" t="s">
        <v>108</v>
      </c>
      <c r="Q108" s="39" t="s">
        <v>335</v>
      </c>
      <c r="R108" s="40" t="s">
        <v>1429</v>
      </c>
      <c r="S108" s="39" t="s">
        <v>61</v>
      </c>
      <c r="T108" s="39" t="s">
        <v>81</v>
      </c>
      <c r="U108" s="39" t="s">
        <v>95</v>
      </c>
      <c r="V108" s="39" t="s">
        <v>86</v>
      </c>
      <c r="W108" s="40"/>
    </row>
    <row r="109" customFormat="false" ht="30" hidden="false" customHeight="true" outlineLevel="0" collapsed="false">
      <c r="A109" s="33" t="s">
        <v>1544</v>
      </c>
      <c r="B109" s="34" t="s">
        <v>972</v>
      </c>
      <c r="C109" s="34" t="s">
        <v>971</v>
      </c>
      <c r="D109" s="33" t="s">
        <v>906</v>
      </c>
      <c r="E109" s="34" t="s">
        <v>908</v>
      </c>
      <c r="F109" s="34" t="s">
        <v>1428</v>
      </c>
      <c r="G109" s="33" t="s">
        <v>194</v>
      </c>
      <c r="H109" s="33" t="s">
        <v>339</v>
      </c>
      <c r="I109" s="33" t="s">
        <v>974</v>
      </c>
      <c r="J109" s="34" t="s">
        <v>973</v>
      </c>
      <c r="K109" s="33" t="s">
        <v>214</v>
      </c>
      <c r="L109" s="33" t="s">
        <v>194</v>
      </c>
      <c r="M109" s="33" t="s">
        <v>203</v>
      </c>
      <c r="N109" s="34" t="s">
        <v>976</v>
      </c>
      <c r="O109" s="34" t="s">
        <v>348</v>
      </c>
      <c r="P109" s="33" t="s">
        <v>110</v>
      </c>
      <c r="Q109" s="33" t="s">
        <v>962</v>
      </c>
      <c r="R109" s="34" t="s">
        <v>1429</v>
      </c>
      <c r="S109" s="33" t="s">
        <v>75</v>
      </c>
      <c r="T109" s="33" t="s">
        <v>81</v>
      </c>
      <c r="U109" s="33" t="s">
        <v>95</v>
      </c>
      <c r="V109" s="33" t="s">
        <v>86</v>
      </c>
      <c r="W109" s="34" t="s">
        <v>977</v>
      </c>
    </row>
    <row r="110" customFormat="false" ht="30" hidden="false" customHeight="true" outlineLevel="0" collapsed="false">
      <c r="A110" s="39" t="s">
        <v>1545</v>
      </c>
      <c r="B110" s="40" t="s">
        <v>988</v>
      </c>
      <c r="C110" s="40" t="s">
        <v>987</v>
      </c>
      <c r="D110" s="39" t="s">
        <v>906</v>
      </c>
      <c r="E110" s="40" t="s">
        <v>980</v>
      </c>
      <c r="F110" s="40" t="s">
        <v>1546</v>
      </c>
      <c r="G110" s="39" t="s">
        <v>275</v>
      </c>
      <c r="H110" s="39" t="s">
        <v>279</v>
      </c>
      <c r="I110" s="39" t="s">
        <v>296</v>
      </c>
      <c r="J110" s="40" t="s">
        <v>989</v>
      </c>
      <c r="K110" s="39" t="s">
        <v>986</v>
      </c>
      <c r="L110" s="39" t="s">
        <v>993</v>
      </c>
      <c r="M110" s="39" t="s">
        <v>203</v>
      </c>
      <c r="N110" s="40" t="s">
        <v>991</v>
      </c>
      <c r="O110" s="40" t="s">
        <v>551</v>
      </c>
      <c r="P110" s="39" t="s">
        <v>106</v>
      </c>
      <c r="Q110" s="39" t="s">
        <v>992</v>
      </c>
      <c r="R110" s="40" t="s">
        <v>1429</v>
      </c>
      <c r="S110" s="39" t="s">
        <v>71</v>
      </c>
      <c r="T110" s="39" t="s">
        <v>81</v>
      </c>
      <c r="U110" s="39" t="s">
        <v>95</v>
      </c>
      <c r="V110" s="39" t="s">
        <v>86</v>
      </c>
      <c r="W110" s="40" t="s">
        <v>995</v>
      </c>
    </row>
    <row r="111" customFormat="false" ht="30" hidden="false" customHeight="true" outlineLevel="0" collapsed="false">
      <c r="A111" s="33" t="s">
        <v>1547</v>
      </c>
      <c r="B111" s="34" t="s">
        <v>997</v>
      </c>
      <c r="C111" s="34" t="s">
        <v>996</v>
      </c>
      <c r="D111" s="33" t="s">
        <v>906</v>
      </c>
      <c r="E111" s="34" t="s">
        <v>980</v>
      </c>
      <c r="F111" s="34" t="s">
        <v>1546</v>
      </c>
      <c r="G111" s="33" t="s">
        <v>275</v>
      </c>
      <c r="H111" s="33" t="s">
        <v>279</v>
      </c>
      <c r="I111" s="33" t="s">
        <v>547</v>
      </c>
      <c r="J111" s="34" t="s">
        <v>998</v>
      </c>
      <c r="K111" s="33" t="s">
        <v>986</v>
      </c>
      <c r="L111" s="33" t="s">
        <v>993</v>
      </c>
      <c r="M111" s="33" t="s">
        <v>203</v>
      </c>
      <c r="N111" s="34" t="s">
        <v>1000</v>
      </c>
      <c r="O111" s="34" t="s">
        <v>300</v>
      </c>
      <c r="P111" s="33" t="s">
        <v>106</v>
      </c>
      <c r="Q111" s="33" t="s">
        <v>714</v>
      </c>
      <c r="R111" s="34" t="s">
        <v>1429</v>
      </c>
      <c r="S111" s="33" t="s">
        <v>71</v>
      </c>
      <c r="T111" s="33" t="s">
        <v>81</v>
      </c>
      <c r="U111" s="33" t="s">
        <v>97</v>
      </c>
      <c r="V111" s="33" t="s">
        <v>88</v>
      </c>
      <c r="W111" s="34"/>
    </row>
    <row r="112" customFormat="false" ht="30" hidden="false" customHeight="true" outlineLevel="0" collapsed="false">
      <c r="A112" s="39" t="s">
        <v>1548</v>
      </c>
      <c r="B112" s="40" t="s">
        <v>1002</v>
      </c>
      <c r="C112" s="40" t="s">
        <v>1001</v>
      </c>
      <c r="D112" s="39" t="s">
        <v>906</v>
      </c>
      <c r="E112" s="40" t="s">
        <v>980</v>
      </c>
      <c r="F112" s="40" t="s">
        <v>1546</v>
      </c>
      <c r="G112" s="39" t="s">
        <v>275</v>
      </c>
      <c r="H112" s="39" t="s">
        <v>279</v>
      </c>
      <c r="I112" s="39" t="s">
        <v>1004</v>
      </c>
      <c r="J112" s="40" t="s">
        <v>1003</v>
      </c>
      <c r="K112" s="39" t="s">
        <v>986</v>
      </c>
      <c r="L112" s="39" t="s">
        <v>993</v>
      </c>
      <c r="M112" s="39" t="s">
        <v>203</v>
      </c>
      <c r="N112" s="40" t="s">
        <v>1000</v>
      </c>
      <c r="O112" s="40" t="s">
        <v>300</v>
      </c>
      <c r="P112" s="39" t="s">
        <v>106</v>
      </c>
      <c r="Q112" s="39" t="s">
        <v>714</v>
      </c>
      <c r="R112" s="40" t="s">
        <v>1429</v>
      </c>
      <c r="S112" s="39" t="s">
        <v>71</v>
      </c>
      <c r="T112" s="39" t="s">
        <v>81</v>
      </c>
      <c r="U112" s="39" t="s">
        <v>97</v>
      </c>
      <c r="V112" s="39" t="s">
        <v>88</v>
      </c>
      <c r="W112" s="40"/>
    </row>
    <row r="113" customFormat="false" ht="30" hidden="false" customHeight="true" outlineLevel="0" collapsed="false">
      <c r="A113" s="33" t="s">
        <v>1549</v>
      </c>
      <c r="B113" s="34" t="s">
        <v>1007</v>
      </c>
      <c r="C113" s="34" t="s">
        <v>1006</v>
      </c>
      <c r="D113" s="33" t="s">
        <v>906</v>
      </c>
      <c r="E113" s="34" t="s">
        <v>980</v>
      </c>
      <c r="F113" s="34" t="s">
        <v>1546</v>
      </c>
      <c r="G113" s="33" t="s">
        <v>275</v>
      </c>
      <c r="H113" s="33" t="s">
        <v>279</v>
      </c>
      <c r="I113" s="33" t="s">
        <v>1009</v>
      </c>
      <c r="J113" s="34" t="s">
        <v>1008</v>
      </c>
      <c r="K113" s="33" t="s">
        <v>986</v>
      </c>
      <c r="L113" s="33" t="s">
        <v>993</v>
      </c>
      <c r="M113" s="33" t="s">
        <v>203</v>
      </c>
      <c r="N113" s="34" t="s">
        <v>1010</v>
      </c>
      <c r="O113" s="34" t="s">
        <v>181</v>
      </c>
      <c r="P113" s="33" t="s">
        <v>106</v>
      </c>
      <c r="Q113" s="33" t="s">
        <v>714</v>
      </c>
      <c r="R113" s="34" t="s">
        <v>1429</v>
      </c>
      <c r="S113" s="33" t="s">
        <v>71</v>
      </c>
      <c r="T113" s="33" t="s">
        <v>81</v>
      </c>
      <c r="U113" s="33" t="s">
        <v>97</v>
      </c>
      <c r="V113" s="33" t="s">
        <v>88</v>
      </c>
      <c r="W113" s="34" t="s">
        <v>1011</v>
      </c>
    </row>
    <row r="114" customFormat="false" ht="30" hidden="false" customHeight="true" outlineLevel="0" collapsed="false">
      <c r="A114" s="39" t="s">
        <v>1550</v>
      </c>
      <c r="B114" s="40" t="s">
        <v>1024</v>
      </c>
      <c r="C114" s="40" t="s">
        <v>1022</v>
      </c>
      <c r="D114" s="39" t="s">
        <v>1013</v>
      </c>
      <c r="E114" s="40" t="s">
        <v>1015</v>
      </c>
      <c r="F114" s="40" t="s">
        <v>1551</v>
      </c>
      <c r="G114" s="39" t="s">
        <v>1023</v>
      </c>
      <c r="H114" s="39" t="s">
        <v>201</v>
      </c>
      <c r="I114" s="39" t="s">
        <v>194</v>
      </c>
      <c r="J114" s="40" t="s">
        <v>1025</v>
      </c>
      <c r="K114" s="39" t="s">
        <v>1021</v>
      </c>
      <c r="L114" s="39" t="s">
        <v>1029</v>
      </c>
      <c r="M114" s="39" t="s">
        <v>203</v>
      </c>
      <c r="N114" s="40" t="s">
        <v>1028</v>
      </c>
      <c r="O114" s="40" t="s">
        <v>300</v>
      </c>
      <c r="P114" s="39" t="s">
        <v>108</v>
      </c>
      <c r="Q114" s="39" t="s">
        <v>335</v>
      </c>
      <c r="R114" s="40" t="s">
        <v>1429</v>
      </c>
      <c r="S114" s="39" t="s">
        <v>65</v>
      </c>
      <c r="T114" s="39" t="s">
        <v>81</v>
      </c>
      <c r="U114" s="39" t="s">
        <v>95</v>
      </c>
      <c r="V114" s="39" t="s">
        <v>86</v>
      </c>
      <c r="W114" s="40" t="s">
        <v>1031</v>
      </c>
    </row>
    <row r="115" customFormat="false" ht="30" hidden="false" customHeight="true" outlineLevel="0" collapsed="false">
      <c r="A115" s="33" t="s">
        <v>1552</v>
      </c>
      <c r="B115" s="34" t="s">
        <v>1035</v>
      </c>
      <c r="C115" s="34" t="s">
        <v>1034</v>
      </c>
      <c r="D115" s="33" t="s">
        <v>1013</v>
      </c>
      <c r="E115" s="34" t="s">
        <v>1015</v>
      </c>
      <c r="F115" s="34" t="s">
        <v>1551</v>
      </c>
      <c r="G115" s="33" t="s">
        <v>275</v>
      </c>
      <c r="H115" s="33" t="s">
        <v>279</v>
      </c>
      <c r="I115" s="33" t="s">
        <v>1037</v>
      </c>
      <c r="J115" s="34" t="s">
        <v>1036</v>
      </c>
      <c r="K115" s="33" t="s">
        <v>1021</v>
      </c>
      <c r="L115" s="33" t="s">
        <v>1029</v>
      </c>
      <c r="M115" s="33" t="s">
        <v>203</v>
      </c>
      <c r="N115" s="34" t="s">
        <v>1040</v>
      </c>
      <c r="O115" s="34" t="s">
        <v>551</v>
      </c>
      <c r="P115" s="33" t="s">
        <v>106</v>
      </c>
      <c r="Q115" s="33" t="s">
        <v>286</v>
      </c>
      <c r="R115" s="34" t="s">
        <v>1429</v>
      </c>
      <c r="S115" s="33" t="s">
        <v>65</v>
      </c>
      <c r="T115" s="33" t="s">
        <v>81</v>
      </c>
      <c r="U115" s="33" t="s">
        <v>95</v>
      </c>
      <c r="V115" s="33" t="s">
        <v>86</v>
      </c>
      <c r="W115" s="34" t="s">
        <v>1041</v>
      </c>
    </row>
    <row r="116" customFormat="false" ht="30" hidden="false" customHeight="true" outlineLevel="0" collapsed="false">
      <c r="A116" s="39" t="s">
        <v>1553</v>
      </c>
      <c r="B116" s="40" t="s">
        <v>1043</v>
      </c>
      <c r="C116" s="40" t="s">
        <v>1042</v>
      </c>
      <c r="D116" s="39" t="s">
        <v>1013</v>
      </c>
      <c r="E116" s="40" t="s">
        <v>1015</v>
      </c>
      <c r="F116" s="40" t="s">
        <v>1551</v>
      </c>
      <c r="G116" s="39" t="s">
        <v>275</v>
      </c>
      <c r="H116" s="39" t="s">
        <v>279</v>
      </c>
      <c r="I116" s="39" t="s">
        <v>1037</v>
      </c>
      <c r="J116" s="40" t="s">
        <v>1044</v>
      </c>
      <c r="K116" s="39" t="s">
        <v>1021</v>
      </c>
      <c r="L116" s="39" t="s">
        <v>1029</v>
      </c>
      <c r="M116" s="39" t="s">
        <v>203</v>
      </c>
      <c r="N116" s="40" t="s">
        <v>1047</v>
      </c>
      <c r="O116" s="40" t="s">
        <v>551</v>
      </c>
      <c r="P116" s="39" t="s">
        <v>106</v>
      </c>
      <c r="Q116" s="39" t="s">
        <v>286</v>
      </c>
      <c r="R116" s="40" t="s">
        <v>1429</v>
      </c>
      <c r="S116" s="39" t="s">
        <v>65</v>
      </c>
      <c r="T116" s="39" t="s">
        <v>81</v>
      </c>
      <c r="U116" s="39" t="s">
        <v>95</v>
      </c>
      <c r="V116" s="39" t="s">
        <v>86</v>
      </c>
      <c r="W116" s="40" t="s">
        <v>1048</v>
      </c>
    </row>
    <row r="117" customFormat="false" ht="30" hidden="false" customHeight="true" outlineLevel="0" collapsed="false">
      <c r="A117" s="33" t="s">
        <v>1554</v>
      </c>
      <c r="B117" s="34" t="s">
        <v>1050</v>
      </c>
      <c r="C117" s="34" t="s">
        <v>1049</v>
      </c>
      <c r="D117" s="33" t="s">
        <v>1013</v>
      </c>
      <c r="E117" s="34" t="s">
        <v>1015</v>
      </c>
      <c r="F117" s="34" t="s">
        <v>1551</v>
      </c>
      <c r="G117" s="33" t="s">
        <v>275</v>
      </c>
      <c r="H117" s="33" t="s">
        <v>279</v>
      </c>
      <c r="I117" s="33" t="s">
        <v>296</v>
      </c>
      <c r="J117" s="34" t="s">
        <v>1051</v>
      </c>
      <c r="K117" s="33" t="s">
        <v>1021</v>
      </c>
      <c r="L117" s="33" t="s">
        <v>1029</v>
      </c>
      <c r="M117" s="33" t="s">
        <v>203</v>
      </c>
      <c r="N117" s="34" t="s">
        <v>1054</v>
      </c>
      <c r="O117" s="34" t="s">
        <v>300</v>
      </c>
      <c r="P117" s="33" t="s">
        <v>106</v>
      </c>
      <c r="Q117" s="33" t="s">
        <v>286</v>
      </c>
      <c r="R117" s="34" t="s">
        <v>1429</v>
      </c>
      <c r="S117" s="33" t="s">
        <v>65</v>
      </c>
      <c r="T117" s="33" t="s">
        <v>81</v>
      </c>
      <c r="U117" s="33" t="s">
        <v>97</v>
      </c>
      <c r="V117" s="33" t="s">
        <v>88</v>
      </c>
      <c r="W117" s="34"/>
    </row>
    <row r="118" customFormat="false" ht="30" hidden="false" customHeight="true" outlineLevel="0" collapsed="false">
      <c r="A118" s="39" t="s">
        <v>1555</v>
      </c>
      <c r="B118" s="40" t="s">
        <v>1056</v>
      </c>
      <c r="C118" s="40" t="s">
        <v>1055</v>
      </c>
      <c r="D118" s="39" t="s">
        <v>1013</v>
      </c>
      <c r="E118" s="40" t="s">
        <v>1015</v>
      </c>
      <c r="F118" s="40" t="s">
        <v>1551</v>
      </c>
      <c r="G118" s="39" t="s">
        <v>275</v>
      </c>
      <c r="H118" s="39" t="s">
        <v>279</v>
      </c>
      <c r="I118" s="39" t="s">
        <v>1037</v>
      </c>
      <c r="J118" s="40" t="s">
        <v>1057</v>
      </c>
      <c r="K118" s="39" t="s">
        <v>1021</v>
      </c>
      <c r="L118" s="39" t="s">
        <v>1029</v>
      </c>
      <c r="M118" s="39" t="s">
        <v>203</v>
      </c>
      <c r="N118" s="40" t="s">
        <v>1060</v>
      </c>
      <c r="O118" s="40" t="s">
        <v>551</v>
      </c>
      <c r="P118" s="39" t="s">
        <v>106</v>
      </c>
      <c r="Q118" s="39" t="s">
        <v>286</v>
      </c>
      <c r="R118" s="40" t="s">
        <v>1429</v>
      </c>
      <c r="S118" s="39" t="s">
        <v>65</v>
      </c>
      <c r="T118" s="39" t="s">
        <v>81</v>
      </c>
      <c r="U118" s="39" t="s">
        <v>95</v>
      </c>
      <c r="V118" s="39" t="s">
        <v>86</v>
      </c>
      <c r="W118" s="40" t="s">
        <v>1061</v>
      </c>
    </row>
    <row r="119" customFormat="false" ht="30" hidden="false" customHeight="true" outlineLevel="0" collapsed="false">
      <c r="A119" s="33" t="s">
        <v>1556</v>
      </c>
      <c r="B119" s="34" t="s">
        <v>1063</v>
      </c>
      <c r="C119" s="34" t="s">
        <v>1062</v>
      </c>
      <c r="D119" s="33" t="s">
        <v>1013</v>
      </c>
      <c r="E119" s="34" t="s">
        <v>1015</v>
      </c>
      <c r="F119" s="34" t="s">
        <v>1551</v>
      </c>
      <c r="G119" s="33" t="s">
        <v>275</v>
      </c>
      <c r="H119" s="33" t="s">
        <v>279</v>
      </c>
      <c r="I119" s="33" t="s">
        <v>1037</v>
      </c>
      <c r="J119" s="34" t="s">
        <v>1064</v>
      </c>
      <c r="K119" s="33" t="s">
        <v>1021</v>
      </c>
      <c r="L119" s="33" t="s">
        <v>1029</v>
      </c>
      <c r="M119" s="33" t="s">
        <v>203</v>
      </c>
      <c r="N119" s="34" t="s">
        <v>1067</v>
      </c>
      <c r="O119" s="34" t="s">
        <v>300</v>
      </c>
      <c r="P119" s="33" t="s">
        <v>106</v>
      </c>
      <c r="Q119" s="33" t="s">
        <v>286</v>
      </c>
      <c r="R119" s="34" t="s">
        <v>1429</v>
      </c>
      <c r="S119" s="33" t="s">
        <v>65</v>
      </c>
      <c r="T119" s="33" t="s">
        <v>81</v>
      </c>
      <c r="U119" s="33" t="s">
        <v>97</v>
      </c>
      <c r="V119" s="33" t="s">
        <v>88</v>
      </c>
      <c r="W119" s="34" t="s">
        <v>1068</v>
      </c>
    </row>
    <row r="120" customFormat="false" ht="30" hidden="false" customHeight="true" outlineLevel="0" collapsed="false">
      <c r="A120" s="39" t="s">
        <v>1557</v>
      </c>
      <c r="B120" s="40" t="s">
        <v>1071</v>
      </c>
      <c r="C120" s="40" t="s">
        <v>1070</v>
      </c>
      <c r="D120" s="39" t="s">
        <v>1013</v>
      </c>
      <c r="E120" s="40" t="s">
        <v>1015</v>
      </c>
      <c r="F120" s="40" t="s">
        <v>1551</v>
      </c>
      <c r="G120" s="39" t="s">
        <v>275</v>
      </c>
      <c r="H120" s="39" t="s">
        <v>279</v>
      </c>
      <c r="I120" s="39" t="s">
        <v>1073</v>
      </c>
      <c r="J120" s="40" t="s">
        <v>1072</v>
      </c>
      <c r="K120" s="39" t="s">
        <v>1021</v>
      </c>
      <c r="L120" s="39" t="s">
        <v>1029</v>
      </c>
      <c r="M120" s="39" t="s">
        <v>203</v>
      </c>
      <c r="N120" s="40" t="s">
        <v>1075</v>
      </c>
      <c r="O120" s="40" t="s">
        <v>551</v>
      </c>
      <c r="P120" s="39" t="s">
        <v>106</v>
      </c>
      <c r="Q120" s="39" t="s">
        <v>286</v>
      </c>
      <c r="R120" s="40" t="s">
        <v>1429</v>
      </c>
      <c r="S120" s="39" t="s">
        <v>65</v>
      </c>
      <c r="T120" s="39" t="s">
        <v>81</v>
      </c>
      <c r="U120" s="39" t="s">
        <v>95</v>
      </c>
      <c r="V120" s="39" t="s">
        <v>86</v>
      </c>
      <c r="W120" s="40" t="s">
        <v>1076</v>
      </c>
    </row>
    <row r="121" customFormat="false" ht="30" hidden="false" customHeight="true" outlineLevel="0" collapsed="false">
      <c r="A121" s="33" t="s">
        <v>1558</v>
      </c>
      <c r="B121" s="34" t="s">
        <v>1079</v>
      </c>
      <c r="C121" s="34" t="s">
        <v>1078</v>
      </c>
      <c r="D121" s="33" t="s">
        <v>1013</v>
      </c>
      <c r="E121" s="34" t="s">
        <v>1015</v>
      </c>
      <c r="F121" s="34" t="s">
        <v>1551</v>
      </c>
      <c r="G121" s="33" t="s">
        <v>275</v>
      </c>
      <c r="H121" s="33" t="s">
        <v>520</v>
      </c>
      <c r="I121" s="33" t="s">
        <v>194</v>
      </c>
      <c r="J121" s="34" t="s">
        <v>1080</v>
      </c>
      <c r="K121" s="33" t="s">
        <v>1021</v>
      </c>
      <c r="L121" s="33" t="s">
        <v>1029</v>
      </c>
      <c r="M121" s="33" t="s">
        <v>97</v>
      </c>
      <c r="N121" s="34" t="s">
        <v>1082</v>
      </c>
      <c r="O121" s="34" t="s">
        <v>1083</v>
      </c>
      <c r="P121" s="33" t="s">
        <v>108</v>
      </c>
      <c r="Q121" s="33" t="s">
        <v>335</v>
      </c>
      <c r="R121" s="34" t="s">
        <v>1429</v>
      </c>
      <c r="S121" s="33" t="s">
        <v>65</v>
      </c>
      <c r="T121" s="33" t="s">
        <v>81</v>
      </c>
      <c r="U121" s="33" t="s">
        <v>97</v>
      </c>
      <c r="V121" s="33" t="s">
        <v>88</v>
      </c>
      <c r="W121" s="34"/>
    </row>
    <row r="122" customFormat="false" ht="30" hidden="false" customHeight="true" outlineLevel="0" collapsed="false">
      <c r="A122" s="39" t="s">
        <v>1559</v>
      </c>
      <c r="B122" s="40" t="s">
        <v>1085</v>
      </c>
      <c r="C122" s="40" t="s">
        <v>1084</v>
      </c>
      <c r="D122" s="39" t="s">
        <v>1013</v>
      </c>
      <c r="E122" s="40" t="s">
        <v>1015</v>
      </c>
      <c r="F122" s="40" t="s">
        <v>1551</v>
      </c>
      <c r="G122" s="39" t="s">
        <v>275</v>
      </c>
      <c r="H122" s="39" t="s">
        <v>520</v>
      </c>
      <c r="I122" s="39" t="s">
        <v>194</v>
      </c>
      <c r="J122" s="40" t="s">
        <v>1086</v>
      </c>
      <c r="K122" s="39" t="s">
        <v>1021</v>
      </c>
      <c r="L122" s="39" t="s">
        <v>1029</v>
      </c>
      <c r="M122" s="39" t="s">
        <v>203</v>
      </c>
      <c r="N122" s="40" t="s">
        <v>1088</v>
      </c>
      <c r="O122" s="40" t="s">
        <v>523</v>
      </c>
      <c r="P122" s="39" t="s">
        <v>108</v>
      </c>
      <c r="Q122" s="39" t="s">
        <v>335</v>
      </c>
      <c r="R122" s="40" t="s">
        <v>1429</v>
      </c>
      <c r="S122" s="39" t="s">
        <v>65</v>
      </c>
      <c r="T122" s="39" t="s">
        <v>81</v>
      </c>
      <c r="U122" s="39" t="s">
        <v>95</v>
      </c>
      <c r="V122" s="39" t="s">
        <v>86</v>
      </c>
      <c r="W122" s="40"/>
    </row>
    <row r="123" customFormat="false" ht="30" hidden="false" customHeight="true" outlineLevel="0" collapsed="false">
      <c r="A123" s="33" t="s">
        <v>1560</v>
      </c>
      <c r="B123" s="34" t="s">
        <v>1090</v>
      </c>
      <c r="C123" s="34" t="s">
        <v>1089</v>
      </c>
      <c r="D123" s="33" t="s">
        <v>1013</v>
      </c>
      <c r="E123" s="34" t="s">
        <v>1015</v>
      </c>
      <c r="F123" s="34" t="s">
        <v>1551</v>
      </c>
      <c r="G123" s="33" t="s">
        <v>275</v>
      </c>
      <c r="H123" s="33" t="s">
        <v>331</v>
      </c>
      <c r="I123" s="33" t="s">
        <v>332</v>
      </c>
      <c r="J123" s="34" t="s">
        <v>1091</v>
      </c>
      <c r="K123" s="33" t="s">
        <v>1021</v>
      </c>
      <c r="L123" s="33" t="s">
        <v>1029</v>
      </c>
      <c r="M123" s="33" t="s">
        <v>97</v>
      </c>
      <c r="N123" s="34" t="s">
        <v>469</v>
      </c>
      <c r="O123" s="34" t="s">
        <v>410</v>
      </c>
      <c r="P123" s="33" t="s">
        <v>108</v>
      </c>
      <c r="Q123" s="33" t="s">
        <v>335</v>
      </c>
      <c r="R123" s="34" t="s">
        <v>1429</v>
      </c>
      <c r="S123" s="33" t="s">
        <v>65</v>
      </c>
      <c r="T123" s="33" t="s">
        <v>81</v>
      </c>
      <c r="U123" s="33" t="s">
        <v>97</v>
      </c>
      <c r="V123" s="33" t="s">
        <v>88</v>
      </c>
      <c r="W123" s="34" t="s">
        <v>1092</v>
      </c>
    </row>
    <row r="124" customFormat="false" ht="30" hidden="false" customHeight="true" outlineLevel="0" collapsed="false">
      <c r="A124" s="39" t="s">
        <v>1561</v>
      </c>
      <c r="B124" s="40" t="s">
        <v>1095</v>
      </c>
      <c r="C124" s="40" t="s">
        <v>1094</v>
      </c>
      <c r="D124" s="39" t="s">
        <v>1013</v>
      </c>
      <c r="E124" s="40" t="s">
        <v>1015</v>
      </c>
      <c r="F124" s="40" t="s">
        <v>1428</v>
      </c>
      <c r="G124" s="39" t="s">
        <v>194</v>
      </c>
      <c r="H124" s="39" t="s">
        <v>279</v>
      </c>
      <c r="I124" s="39" t="s">
        <v>547</v>
      </c>
      <c r="J124" s="40" t="s">
        <v>1096</v>
      </c>
      <c r="K124" s="39" t="s">
        <v>214</v>
      </c>
      <c r="L124" s="39" t="s">
        <v>194</v>
      </c>
      <c r="M124" s="39" t="s">
        <v>203</v>
      </c>
      <c r="N124" s="40" t="s">
        <v>1100</v>
      </c>
      <c r="O124" s="40" t="s">
        <v>551</v>
      </c>
      <c r="P124" s="39" t="s">
        <v>110</v>
      </c>
      <c r="Q124" s="39" t="s">
        <v>1101</v>
      </c>
      <c r="R124" s="40" t="s">
        <v>1429</v>
      </c>
      <c r="S124" s="39" t="s">
        <v>75</v>
      </c>
      <c r="T124" s="39" t="s">
        <v>81</v>
      </c>
      <c r="U124" s="39" t="s">
        <v>95</v>
      </c>
      <c r="V124" s="39" t="s">
        <v>86</v>
      </c>
      <c r="W124" s="40" t="s">
        <v>1103</v>
      </c>
    </row>
    <row r="125" customFormat="false" ht="30" hidden="false" customHeight="true" outlineLevel="0" collapsed="false">
      <c r="A125" s="33" t="s">
        <v>1562</v>
      </c>
      <c r="B125" s="34" t="s">
        <v>1105</v>
      </c>
      <c r="C125" s="34" t="s">
        <v>1104</v>
      </c>
      <c r="D125" s="33" t="s">
        <v>1013</v>
      </c>
      <c r="E125" s="34" t="s">
        <v>1015</v>
      </c>
      <c r="F125" s="34" t="s">
        <v>1428</v>
      </c>
      <c r="G125" s="33" t="s">
        <v>194</v>
      </c>
      <c r="H125" s="33" t="s">
        <v>279</v>
      </c>
      <c r="I125" s="33" t="s">
        <v>1107</v>
      </c>
      <c r="J125" s="34" t="s">
        <v>1106</v>
      </c>
      <c r="K125" s="33" t="s">
        <v>214</v>
      </c>
      <c r="L125" s="33" t="s">
        <v>194</v>
      </c>
      <c r="M125" s="33" t="s">
        <v>203</v>
      </c>
      <c r="N125" s="34" t="s">
        <v>1109</v>
      </c>
      <c r="O125" s="34" t="s">
        <v>179</v>
      </c>
      <c r="P125" s="33" t="s">
        <v>110</v>
      </c>
      <c r="Q125" s="33" t="s">
        <v>1101</v>
      </c>
      <c r="R125" s="34" t="s">
        <v>1429</v>
      </c>
      <c r="S125" s="33" t="s">
        <v>75</v>
      </c>
      <c r="T125" s="33" t="s">
        <v>81</v>
      </c>
      <c r="U125" s="33" t="s">
        <v>95</v>
      </c>
      <c r="V125" s="33" t="s">
        <v>86</v>
      </c>
      <c r="W125" s="34"/>
    </row>
    <row r="126" customFormat="false" ht="30" hidden="false" customHeight="true" outlineLevel="0" collapsed="false">
      <c r="A126" s="39" t="s">
        <v>1563</v>
      </c>
      <c r="B126" s="40" t="s">
        <v>1112</v>
      </c>
      <c r="C126" s="40" t="s">
        <v>1111</v>
      </c>
      <c r="D126" s="39" t="s">
        <v>1013</v>
      </c>
      <c r="E126" s="40" t="s">
        <v>1015</v>
      </c>
      <c r="F126" s="40" t="s">
        <v>1428</v>
      </c>
      <c r="G126" s="39" t="s">
        <v>194</v>
      </c>
      <c r="H126" s="39" t="s">
        <v>279</v>
      </c>
      <c r="I126" s="39" t="s">
        <v>1114</v>
      </c>
      <c r="J126" s="40" t="s">
        <v>1113</v>
      </c>
      <c r="K126" s="39" t="s">
        <v>214</v>
      </c>
      <c r="L126" s="39" t="s">
        <v>194</v>
      </c>
      <c r="M126" s="39" t="s">
        <v>203</v>
      </c>
      <c r="N126" s="40" t="s">
        <v>1116</v>
      </c>
      <c r="O126" s="40" t="s">
        <v>179</v>
      </c>
      <c r="P126" s="39" t="s">
        <v>110</v>
      </c>
      <c r="Q126" s="39" t="s">
        <v>1117</v>
      </c>
      <c r="R126" s="40" t="s">
        <v>1429</v>
      </c>
      <c r="S126" s="39" t="s">
        <v>75</v>
      </c>
      <c r="T126" s="39" t="s">
        <v>81</v>
      </c>
      <c r="U126" s="39" t="s">
        <v>95</v>
      </c>
      <c r="V126" s="39" t="s">
        <v>86</v>
      </c>
      <c r="W126" s="40" t="s">
        <v>1118</v>
      </c>
    </row>
    <row r="127" customFormat="false" ht="30" hidden="false" customHeight="true" outlineLevel="0" collapsed="false">
      <c r="A127" s="33" t="s">
        <v>1564</v>
      </c>
      <c r="B127" s="34" t="s">
        <v>1130</v>
      </c>
      <c r="C127" s="34" t="s">
        <v>1129</v>
      </c>
      <c r="D127" s="33" t="s">
        <v>1120</v>
      </c>
      <c r="E127" s="34" t="s">
        <v>1122</v>
      </c>
      <c r="F127" s="34" t="s">
        <v>1565</v>
      </c>
      <c r="G127" s="33" t="s">
        <v>275</v>
      </c>
      <c r="H127" s="33" t="s">
        <v>279</v>
      </c>
      <c r="I127" s="33" t="s">
        <v>1133</v>
      </c>
      <c r="J127" s="34" t="s">
        <v>1131</v>
      </c>
      <c r="K127" s="33" t="s">
        <v>363</v>
      </c>
      <c r="L127" s="33" t="s">
        <v>1137</v>
      </c>
      <c r="M127" s="33" t="s">
        <v>203</v>
      </c>
      <c r="N127" s="34" t="s">
        <v>1135</v>
      </c>
      <c r="O127" s="34" t="s">
        <v>1136</v>
      </c>
      <c r="P127" s="33" t="s">
        <v>106</v>
      </c>
      <c r="Q127" s="33" t="s">
        <v>286</v>
      </c>
      <c r="R127" s="34" t="s">
        <v>1429</v>
      </c>
      <c r="S127" s="33" t="s">
        <v>67</v>
      </c>
      <c r="T127" s="33" t="s">
        <v>81</v>
      </c>
      <c r="U127" s="33" t="s">
        <v>95</v>
      </c>
      <c r="V127" s="33" t="s">
        <v>86</v>
      </c>
      <c r="W127" s="34" t="s">
        <v>1139</v>
      </c>
    </row>
    <row r="128" customFormat="false" ht="30" hidden="false" customHeight="true" outlineLevel="0" collapsed="false">
      <c r="A128" s="39" t="s">
        <v>1566</v>
      </c>
      <c r="B128" s="40" t="s">
        <v>1142</v>
      </c>
      <c r="C128" s="40" t="s">
        <v>1141</v>
      </c>
      <c r="D128" s="39" t="s">
        <v>1120</v>
      </c>
      <c r="E128" s="40" t="s">
        <v>1122</v>
      </c>
      <c r="F128" s="40" t="s">
        <v>1565</v>
      </c>
      <c r="G128" s="39" t="s">
        <v>275</v>
      </c>
      <c r="H128" s="39" t="s">
        <v>279</v>
      </c>
      <c r="I128" s="39" t="s">
        <v>1144</v>
      </c>
      <c r="J128" s="40" t="s">
        <v>1143</v>
      </c>
      <c r="K128" s="39" t="s">
        <v>363</v>
      </c>
      <c r="L128" s="39" t="s">
        <v>1137</v>
      </c>
      <c r="M128" s="39" t="s">
        <v>97</v>
      </c>
      <c r="N128" s="40" t="s">
        <v>1145</v>
      </c>
      <c r="O128" s="40" t="s">
        <v>300</v>
      </c>
      <c r="P128" s="39" t="s">
        <v>106</v>
      </c>
      <c r="Q128" s="39" t="s">
        <v>286</v>
      </c>
      <c r="R128" s="40" t="s">
        <v>1429</v>
      </c>
      <c r="S128" s="39" t="s">
        <v>67</v>
      </c>
      <c r="T128" s="39" t="s">
        <v>81</v>
      </c>
      <c r="U128" s="39" t="s">
        <v>97</v>
      </c>
      <c r="V128" s="39" t="s">
        <v>88</v>
      </c>
      <c r="W128" s="40"/>
    </row>
    <row r="129" customFormat="false" ht="30" hidden="false" customHeight="true" outlineLevel="0" collapsed="false">
      <c r="A129" s="33" t="s">
        <v>1567</v>
      </c>
      <c r="B129" s="34" t="s">
        <v>1147</v>
      </c>
      <c r="C129" s="34" t="s">
        <v>1146</v>
      </c>
      <c r="D129" s="33" t="s">
        <v>1120</v>
      </c>
      <c r="E129" s="34" t="s">
        <v>1122</v>
      </c>
      <c r="F129" s="34" t="s">
        <v>1565</v>
      </c>
      <c r="G129" s="33" t="s">
        <v>275</v>
      </c>
      <c r="H129" s="33" t="s">
        <v>279</v>
      </c>
      <c r="I129" s="33" t="s">
        <v>1149</v>
      </c>
      <c r="J129" s="34" t="s">
        <v>1148</v>
      </c>
      <c r="K129" s="33" t="s">
        <v>363</v>
      </c>
      <c r="L129" s="33" t="s">
        <v>1137</v>
      </c>
      <c r="M129" s="33" t="s">
        <v>97</v>
      </c>
      <c r="N129" s="34" t="s">
        <v>1150</v>
      </c>
      <c r="O129" s="34" t="s">
        <v>300</v>
      </c>
      <c r="P129" s="33" t="s">
        <v>106</v>
      </c>
      <c r="Q129" s="33" t="s">
        <v>286</v>
      </c>
      <c r="R129" s="34" t="s">
        <v>1429</v>
      </c>
      <c r="S129" s="33" t="s">
        <v>67</v>
      </c>
      <c r="T129" s="33" t="s">
        <v>81</v>
      </c>
      <c r="U129" s="33" t="s">
        <v>97</v>
      </c>
      <c r="V129" s="33" t="s">
        <v>90</v>
      </c>
      <c r="W129" s="34"/>
    </row>
    <row r="130" customFormat="false" ht="30" hidden="false" customHeight="true" outlineLevel="0" collapsed="false">
      <c r="A130" s="39" t="s">
        <v>1568</v>
      </c>
      <c r="B130" s="40" t="s">
        <v>1152</v>
      </c>
      <c r="C130" s="40" t="s">
        <v>1151</v>
      </c>
      <c r="D130" s="39" t="s">
        <v>1120</v>
      </c>
      <c r="E130" s="40" t="s">
        <v>1122</v>
      </c>
      <c r="F130" s="40" t="s">
        <v>1565</v>
      </c>
      <c r="G130" s="39" t="s">
        <v>275</v>
      </c>
      <c r="H130" s="39" t="s">
        <v>533</v>
      </c>
      <c r="I130" s="39" t="s">
        <v>534</v>
      </c>
      <c r="J130" s="40" t="s">
        <v>1153</v>
      </c>
      <c r="K130" s="39" t="s">
        <v>363</v>
      </c>
      <c r="L130" s="39" t="s">
        <v>1137</v>
      </c>
      <c r="M130" s="39" t="s">
        <v>203</v>
      </c>
      <c r="N130" s="40" t="s">
        <v>1154</v>
      </c>
      <c r="O130" s="40" t="s">
        <v>285</v>
      </c>
      <c r="P130" s="39" t="s">
        <v>108</v>
      </c>
      <c r="Q130" s="39" t="s">
        <v>335</v>
      </c>
      <c r="R130" s="40" t="s">
        <v>1429</v>
      </c>
      <c r="S130" s="39" t="s">
        <v>67</v>
      </c>
      <c r="T130" s="39" t="s">
        <v>81</v>
      </c>
      <c r="U130" s="39" t="s">
        <v>95</v>
      </c>
      <c r="V130" s="39" t="s">
        <v>86</v>
      </c>
      <c r="W130" s="40" t="s">
        <v>1155</v>
      </c>
    </row>
    <row r="131" customFormat="false" ht="30" hidden="false" customHeight="true" outlineLevel="0" collapsed="false">
      <c r="A131" s="33" t="s">
        <v>1569</v>
      </c>
      <c r="B131" s="34" t="s">
        <v>1158</v>
      </c>
      <c r="C131" s="34" t="s">
        <v>1157</v>
      </c>
      <c r="D131" s="33" t="s">
        <v>1120</v>
      </c>
      <c r="E131" s="34" t="s">
        <v>1122</v>
      </c>
      <c r="F131" s="34" t="s">
        <v>1565</v>
      </c>
      <c r="G131" s="33" t="s">
        <v>275</v>
      </c>
      <c r="H131" s="33" t="s">
        <v>279</v>
      </c>
      <c r="I131" s="33" t="s">
        <v>1160</v>
      </c>
      <c r="J131" s="34" t="s">
        <v>1159</v>
      </c>
      <c r="K131" s="33" t="s">
        <v>363</v>
      </c>
      <c r="L131" s="33" t="s">
        <v>1137</v>
      </c>
      <c r="M131" s="33" t="s">
        <v>203</v>
      </c>
      <c r="N131" s="34" t="s">
        <v>1161</v>
      </c>
      <c r="O131" s="34" t="s">
        <v>177</v>
      </c>
      <c r="P131" s="33" t="s">
        <v>108</v>
      </c>
      <c r="Q131" s="33" t="s">
        <v>1162</v>
      </c>
      <c r="R131" s="34" t="s">
        <v>1429</v>
      </c>
      <c r="S131" s="33" t="s">
        <v>67</v>
      </c>
      <c r="T131" s="33" t="s">
        <v>81</v>
      </c>
      <c r="U131" s="33" t="s">
        <v>97</v>
      </c>
      <c r="V131" s="33" t="s">
        <v>88</v>
      </c>
      <c r="W131" s="34" t="s">
        <v>1163</v>
      </c>
    </row>
    <row r="132" customFormat="false" ht="30" hidden="false" customHeight="true" outlineLevel="0" collapsed="false">
      <c r="A132" s="39" t="s">
        <v>1570</v>
      </c>
      <c r="B132" s="40" t="s">
        <v>1165</v>
      </c>
      <c r="C132" s="40" t="s">
        <v>1164</v>
      </c>
      <c r="D132" s="39" t="s">
        <v>1120</v>
      </c>
      <c r="E132" s="40" t="s">
        <v>1122</v>
      </c>
      <c r="F132" s="40" t="s">
        <v>1428</v>
      </c>
      <c r="G132" s="39" t="s">
        <v>194</v>
      </c>
      <c r="H132" s="39" t="s">
        <v>339</v>
      </c>
      <c r="I132" s="39" t="s">
        <v>1168</v>
      </c>
      <c r="J132" s="40" t="s">
        <v>1166</v>
      </c>
      <c r="K132" s="39" t="s">
        <v>214</v>
      </c>
      <c r="L132" s="39" t="s">
        <v>194</v>
      </c>
      <c r="M132" s="39" t="s">
        <v>203</v>
      </c>
      <c r="N132" s="40" t="s">
        <v>1169</v>
      </c>
      <c r="O132" s="40" t="s">
        <v>788</v>
      </c>
      <c r="P132" s="39" t="s">
        <v>110</v>
      </c>
      <c r="Q132" s="39" t="s">
        <v>1170</v>
      </c>
      <c r="R132" s="40" t="s">
        <v>1429</v>
      </c>
      <c r="S132" s="39" t="s">
        <v>75</v>
      </c>
      <c r="T132" s="39" t="s">
        <v>81</v>
      </c>
      <c r="U132" s="39" t="s">
        <v>95</v>
      </c>
      <c r="V132" s="39" t="s">
        <v>86</v>
      </c>
      <c r="W132" s="40" t="s">
        <v>1171</v>
      </c>
    </row>
    <row r="133" customFormat="false" ht="30" hidden="false" customHeight="true" outlineLevel="0" collapsed="false">
      <c r="A133" s="33" t="s">
        <v>1571</v>
      </c>
      <c r="B133" s="34" t="s">
        <v>1173</v>
      </c>
      <c r="C133" s="34" t="s">
        <v>1172</v>
      </c>
      <c r="D133" s="33" t="s">
        <v>1120</v>
      </c>
      <c r="E133" s="34" t="s">
        <v>1122</v>
      </c>
      <c r="F133" s="34" t="s">
        <v>1428</v>
      </c>
      <c r="G133" s="33" t="s">
        <v>194</v>
      </c>
      <c r="H133" s="33" t="s">
        <v>279</v>
      </c>
      <c r="I133" s="33" t="s">
        <v>322</v>
      </c>
      <c r="J133" s="34" t="s">
        <v>1174</v>
      </c>
      <c r="K133" s="33" t="s">
        <v>214</v>
      </c>
      <c r="L133" s="33" t="s">
        <v>194</v>
      </c>
      <c r="M133" s="33" t="s">
        <v>203</v>
      </c>
      <c r="N133" s="34" t="s">
        <v>1175</v>
      </c>
      <c r="O133" s="34" t="s">
        <v>179</v>
      </c>
      <c r="P133" s="33" t="s">
        <v>110</v>
      </c>
      <c r="Q133" s="33" t="s">
        <v>1170</v>
      </c>
      <c r="R133" s="34" t="s">
        <v>1429</v>
      </c>
      <c r="S133" s="33" t="s">
        <v>75</v>
      </c>
      <c r="T133" s="33" t="s">
        <v>81</v>
      </c>
      <c r="U133" s="33" t="s">
        <v>95</v>
      </c>
      <c r="V133" s="33" t="s">
        <v>86</v>
      </c>
      <c r="W133" s="34" t="s">
        <v>1176</v>
      </c>
    </row>
    <row r="134" customFormat="false" ht="30" hidden="false" customHeight="true" outlineLevel="0" collapsed="false">
      <c r="A134" s="39" t="s">
        <v>1572</v>
      </c>
      <c r="B134" s="40" t="s">
        <v>1178</v>
      </c>
      <c r="C134" s="40" t="s">
        <v>1177</v>
      </c>
      <c r="D134" s="39" t="s">
        <v>1120</v>
      </c>
      <c r="E134" s="40" t="s">
        <v>1122</v>
      </c>
      <c r="F134" s="40" t="s">
        <v>1428</v>
      </c>
      <c r="G134" s="39" t="s">
        <v>194</v>
      </c>
      <c r="H134" s="39" t="s">
        <v>279</v>
      </c>
      <c r="I134" s="39" t="s">
        <v>1180</v>
      </c>
      <c r="J134" s="40" t="s">
        <v>1179</v>
      </c>
      <c r="K134" s="39" t="s">
        <v>214</v>
      </c>
      <c r="L134" s="39" t="s">
        <v>194</v>
      </c>
      <c r="M134" s="39" t="s">
        <v>203</v>
      </c>
      <c r="N134" s="40" t="s">
        <v>1181</v>
      </c>
      <c r="O134" s="40" t="s">
        <v>348</v>
      </c>
      <c r="P134" s="39" t="s">
        <v>110</v>
      </c>
      <c r="Q134" s="39" t="s">
        <v>871</v>
      </c>
      <c r="R134" s="40" t="s">
        <v>1429</v>
      </c>
      <c r="S134" s="39" t="s">
        <v>75</v>
      </c>
      <c r="T134" s="39" t="s">
        <v>81</v>
      </c>
      <c r="U134" s="39" t="s">
        <v>97</v>
      </c>
      <c r="V134" s="39" t="s">
        <v>88</v>
      </c>
      <c r="W134" s="40" t="s">
        <v>1182</v>
      </c>
    </row>
    <row r="135" customFormat="false" ht="30" hidden="false" customHeight="true" outlineLevel="0" collapsed="false">
      <c r="A135" s="33" t="s">
        <v>1573</v>
      </c>
      <c r="B135" s="34" t="s">
        <v>1185</v>
      </c>
      <c r="C135" s="34" t="s">
        <v>1184</v>
      </c>
      <c r="D135" s="33" t="s">
        <v>1120</v>
      </c>
      <c r="E135" s="34" t="s">
        <v>1122</v>
      </c>
      <c r="F135" s="34" t="s">
        <v>1428</v>
      </c>
      <c r="G135" s="33" t="s">
        <v>194</v>
      </c>
      <c r="H135" s="33" t="s">
        <v>279</v>
      </c>
      <c r="I135" s="33" t="s">
        <v>322</v>
      </c>
      <c r="J135" s="34" t="s">
        <v>1186</v>
      </c>
      <c r="K135" s="33" t="s">
        <v>214</v>
      </c>
      <c r="L135" s="33" t="s">
        <v>194</v>
      </c>
      <c r="M135" s="33" t="s">
        <v>203</v>
      </c>
      <c r="N135" s="34" t="s">
        <v>1188</v>
      </c>
      <c r="O135" s="34" t="s">
        <v>300</v>
      </c>
      <c r="P135" s="33" t="s">
        <v>110</v>
      </c>
      <c r="Q135" s="33" t="s">
        <v>871</v>
      </c>
      <c r="R135" s="34" t="s">
        <v>1429</v>
      </c>
      <c r="S135" s="33" t="s">
        <v>75</v>
      </c>
      <c r="T135" s="33" t="s">
        <v>81</v>
      </c>
      <c r="U135" s="33" t="s">
        <v>97</v>
      </c>
      <c r="V135" s="33" t="s">
        <v>88</v>
      </c>
      <c r="W135" s="34" t="s">
        <v>1189</v>
      </c>
    </row>
    <row r="136" customFormat="false" ht="30" hidden="false" customHeight="true" outlineLevel="0" collapsed="false">
      <c r="A136" s="39" t="s">
        <v>1574</v>
      </c>
      <c r="B136" s="40" t="s">
        <v>1192</v>
      </c>
      <c r="C136" s="40" t="s">
        <v>1191</v>
      </c>
      <c r="D136" s="39" t="s">
        <v>1120</v>
      </c>
      <c r="E136" s="40" t="s">
        <v>1122</v>
      </c>
      <c r="F136" s="40" t="s">
        <v>1428</v>
      </c>
      <c r="G136" s="39" t="s">
        <v>194</v>
      </c>
      <c r="H136" s="39" t="s">
        <v>201</v>
      </c>
      <c r="I136" s="39" t="s">
        <v>194</v>
      </c>
      <c r="J136" s="40" t="s">
        <v>1193</v>
      </c>
      <c r="K136" s="39" t="s">
        <v>214</v>
      </c>
      <c r="L136" s="39" t="s">
        <v>194</v>
      </c>
      <c r="M136" s="39" t="s">
        <v>203</v>
      </c>
      <c r="N136" s="40" t="s">
        <v>1194</v>
      </c>
      <c r="O136" s="40" t="s">
        <v>180</v>
      </c>
      <c r="P136" s="39" t="s">
        <v>108</v>
      </c>
      <c r="Q136" s="39" t="s">
        <v>1195</v>
      </c>
      <c r="R136" s="40" t="s">
        <v>1429</v>
      </c>
      <c r="S136" s="39" t="s">
        <v>75</v>
      </c>
      <c r="T136" s="39" t="s">
        <v>81</v>
      </c>
      <c r="U136" s="39" t="s">
        <v>97</v>
      </c>
      <c r="V136" s="39" t="s">
        <v>88</v>
      </c>
      <c r="W136" s="40" t="s">
        <v>1196</v>
      </c>
    </row>
    <row r="137" customFormat="false" ht="30" hidden="false" customHeight="true" outlineLevel="0" collapsed="false">
      <c r="A137" s="33" t="s">
        <v>1575</v>
      </c>
      <c r="B137" s="34" t="s">
        <v>1198</v>
      </c>
      <c r="C137" s="34" t="s">
        <v>1197</v>
      </c>
      <c r="D137" s="33" t="s">
        <v>1120</v>
      </c>
      <c r="E137" s="34" t="s">
        <v>1122</v>
      </c>
      <c r="F137" s="34" t="s">
        <v>1428</v>
      </c>
      <c r="G137" s="33" t="s">
        <v>194</v>
      </c>
      <c r="H137" s="33" t="s">
        <v>279</v>
      </c>
      <c r="I137" s="33" t="s">
        <v>322</v>
      </c>
      <c r="J137" s="34" t="s">
        <v>1199</v>
      </c>
      <c r="K137" s="33" t="s">
        <v>196</v>
      </c>
      <c r="L137" s="33" t="s">
        <v>209</v>
      </c>
      <c r="M137" s="33" t="s">
        <v>203</v>
      </c>
      <c r="N137" s="34" t="s">
        <v>1201</v>
      </c>
      <c r="O137" s="34" t="s">
        <v>348</v>
      </c>
      <c r="P137" s="33" t="s">
        <v>108</v>
      </c>
      <c r="Q137" s="33" t="s">
        <v>205</v>
      </c>
      <c r="R137" s="34" t="s">
        <v>1429</v>
      </c>
      <c r="S137" s="33" t="s">
        <v>73</v>
      </c>
      <c r="T137" s="33" t="s">
        <v>81</v>
      </c>
      <c r="U137" s="33" t="s">
        <v>95</v>
      </c>
      <c r="V137" s="33" t="s">
        <v>86</v>
      </c>
      <c r="W137" s="34" t="s">
        <v>1202</v>
      </c>
    </row>
    <row r="138" customFormat="false" ht="30" hidden="false" customHeight="true" outlineLevel="0" collapsed="false">
      <c r="A138" s="39" t="s">
        <v>1576</v>
      </c>
      <c r="B138" s="40" t="s">
        <v>1209</v>
      </c>
      <c r="C138" s="40" t="s">
        <v>1208</v>
      </c>
      <c r="D138" s="39" t="s">
        <v>1204</v>
      </c>
      <c r="E138" s="40" t="s">
        <v>1206</v>
      </c>
      <c r="F138" s="40" t="s">
        <v>1428</v>
      </c>
      <c r="G138" s="39" t="s">
        <v>194</v>
      </c>
      <c r="H138" s="39" t="s">
        <v>339</v>
      </c>
      <c r="I138" s="39" t="s">
        <v>974</v>
      </c>
      <c r="J138" s="40" t="s">
        <v>1210</v>
      </c>
      <c r="K138" s="39" t="s">
        <v>214</v>
      </c>
      <c r="L138" s="39" t="s">
        <v>194</v>
      </c>
      <c r="M138" s="39" t="s">
        <v>203</v>
      </c>
      <c r="N138" s="40" t="s">
        <v>1211</v>
      </c>
      <c r="O138" s="40" t="s">
        <v>348</v>
      </c>
      <c r="P138" s="39" t="s">
        <v>110</v>
      </c>
      <c r="Q138" s="39" t="s">
        <v>871</v>
      </c>
      <c r="R138" s="40" t="s">
        <v>1429</v>
      </c>
      <c r="S138" s="39" t="s">
        <v>75</v>
      </c>
      <c r="T138" s="39" t="s">
        <v>81</v>
      </c>
      <c r="U138" s="39" t="s">
        <v>97</v>
      </c>
      <c r="V138" s="39" t="s">
        <v>88</v>
      </c>
      <c r="W138" s="40" t="s">
        <v>1212</v>
      </c>
    </row>
    <row r="139" customFormat="false" ht="30" hidden="false" customHeight="true" outlineLevel="0" collapsed="false">
      <c r="A139" s="33" t="s">
        <v>1577</v>
      </c>
      <c r="B139" s="34" t="s">
        <v>1215</v>
      </c>
      <c r="C139" s="34" t="s">
        <v>1214</v>
      </c>
      <c r="D139" s="33" t="s">
        <v>1204</v>
      </c>
      <c r="E139" s="34" t="s">
        <v>1206</v>
      </c>
      <c r="F139" s="34" t="s">
        <v>1428</v>
      </c>
      <c r="G139" s="33" t="s">
        <v>194</v>
      </c>
      <c r="H139" s="33" t="s">
        <v>201</v>
      </c>
      <c r="I139" s="33" t="s">
        <v>194</v>
      </c>
      <c r="J139" s="34" t="s">
        <v>1216</v>
      </c>
      <c r="K139" s="33" t="s">
        <v>214</v>
      </c>
      <c r="L139" s="33" t="s">
        <v>194</v>
      </c>
      <c r="M139" s="33" t="s">
        <v>203</v>
      </c>
      <c r="N139" s="34" t="s">
        <v>1218</v>
      </c>
      <c r="O139" s="34" t="s">
        <v>179</v>
      </c>
      <c r="P139" s="33" t="s">
        <v>110</v>
      </c>
      <c r="Q139" s="33" t="s">
        <v>1219</v>
      </c>
      <c r="R139" s="34" t="s">
        <v>1429</v>
      </c>
      <c r="S139" s="33" t="s">
        <v>75</v>
      </c>
      <c r="T139" s="33" t="s">
        <v>81</v>
      </c>
      <c r="U139" s="33" t="s">
        <v>97</v>
      </c>
      <c r="V139" s="33" t="s">
        <v>88</v>
      </c>
      <c r="W139" s="34" t="s">
        <v>1220</v>
      </c>
    </row>
    <row r="140" customFormat="false" ht="30" hidden="false" customHeight="true" outlineLevel="0" collapsed="false">
      <c r="A140" s="39" t="s">
        <v>1578</v>
      </c>
      <c r="B140" s="40" t="s">
        <v>1222</v>
      </c>
      <c r="C140" s="40" t="s">
        <v>1221</v>
      </c>
      <c r="D140" s="39" t="s">
        <v>1204</v>
      </c>
      <c r="E140" s="40" t="s">
        <v>1206</v>
      </c>
      <c r="F140" s="40" t="s">
        <v>1428</v>
      </c>
      <c r="G140" s="39" t="s">
        <v>194</v>
      </c>
      <c r="H140" s="39" t="s">
        <v>279</v>
      </c>
      <c r="I140" s="39" t="s">
        <v>322</v>
      </c>
      <c r="J140" s="40" t="s">
        <v>1223</v>
      </c>
      <c r="K140" s="39" t="s">
        <v>214</v>
      </c>
      <c r="L140" s="39" t="s">
        <v>194</v>
      </c>
      <c r="M140" s="39" t="s">
        <v>203</v>
      </c>
      <c r="N140" s="40" t="s">
        <v>1224</v>
      </c>
      <c r="O140" s="40" t="s">
        <v>179</v>
      </c>
      <c r="P140" s="39" t="s">
        <v>110</v>
      </c>
      <c r="Q140" s="39" t="s">
        <v>1225</v>
      </c>
      <c r="R140" s="40" t="s">
        <v>1429</v>
      </c>
      <c r="S140" s="39" t="s">
        <v>75</v>
      </c>
      <c r="T140" s="39" t="s">
        <v>81</v>
      </c>
      <c r="U140" s="39" t="s">
        <v>95</v>
      </c>
      <c r="V140" s="39" t="s">
        <v>86</v>
      </c>
      <c r="W140" s="40"/>
    </row>
    <row r="141" customFormat="false" ht="30" hidden="false" customHeight="true" outlineLevel="0" collapsed="false">
      <c r="A141" s="33" t="s">
        <v>1579</v>
      </c>
      <c r="B141" s="34" t="s">
        <v>1228</v>
      </c>
      <c r="C141" s="34" t="s">
        <v>1227</v>
      </c>
      <c r="D141" s="33" t="s">
        <v>1204</v>
      </c>
      <c r="E141" s="34" t="s">
        <v>1206</v>
      </c>
      <c r="F141" s="34" t="s">
        <v>1428</v>
      </c>
      <c r="G141" s="33" t="s">
        <v>194</v>
      </c>
      <c r="H141" s="33" t="s">
        <v>201</v>
      </c>
      <c r="I141" s="33" t="s">
        <v>194</v>
      </c>
      <c r="J141" s="34" t="s">
        <v>1229</v>
      </c>
      <c r="K141" s="33" t="s">
        <v>214</v>
      </c>
      <c r="L141" s="33" t="s">
        <v>194</v>
      </c>
      <c r="M141" s="33" t="s">
        <v>203</v>
      </c>
      <c r="N141" s="34" t="s">
        <v>1231</v>
      </c>
      <c r="O141" s="34" t="s">
        <v>419</v>
      </c>
      <c r="P141" s="33" t="s">
        <v>108</v>
      </c>
      <c r="Q141" s="33" t="s">
        <v>262</v>
      </c>
      <c r="R141" s="34" t="s">
        <v>1429</v>
      </c>
      <c r="S141" s="33" t="s">
        <v>75</v>
      </c>
      <c r="T141" s="33" t="s">
        <v>99</v>
      </c>
      <c r="U141" s="33" t="s">
        <v>95</v>
      </c>
      <c r="V141" s="33" t="s">
        <v>86</v>
      </c>
      <c r="W141" s="34" t="s">
        <v>1232</v>
      </c>
    </row>
    <row r="142" customFormat="false" ht="30" hidden="false" customHeight="true" outlineLevel="0" collapsed="false">
      <c r="A142" s="39" t="s">
        <v>1580</v>
      </c>
      <c r="B142" s="40" t="s">
        <v>1234</v>
      </c>
      <c r="C142" s="40" t="s">
        <v>1233</v>
      </c>
      <c r="D142" s="39" t="s">
        <v>1204</v>
      </c>
      <c r="E142" s="40" t="s">
        <v>1206</v>
      </c>
      <c r="F142" s="40" t="s">
        <v>1428</v>
      </c>
      <c r="G142" s="39" t="s">
        <v>194</v>
      </c>
      <c r="H142" s="39" t="s">
        <v>520</v>
      </c>
      <c r="I142" s="39" t="s">
        <v>194</v>
      </c>
      <c r="J142" s="40" t="s">
        <v>1235</v>
      </c>
      <c r="K142" s="39" t="s">
        <v>214</v>
      </c>
      <c r="L142" s="39" t="s">
        <v>194</v>
      </c>
      <c r="M142" s="39" t="s">
        <v>97</v>
      </c>
      <c r="N142" s="40" t="s">
        <v>1237</v>
      </c>
      <c r="O142" s="40" t="s">
        <v>247</v>
      </c>
      <c r="P142" s="39" t="s">
        <v>108</v>
      </c>
      <c r="Q142" s="39" t="s">
        <v>262</v>
      </c>
      <c r="R142" s="40" t="s">
        <v>1429</v>
      </c>
      <c r="S142" s="39" t="s">
        <v>75</v>
      </c>
      <c r="T142" s="39" t="s">
        <v>81</v>
      </c>
      <c r="U142" s="39" t="s">
        <v>97</v>
      </c>
      <c r="V142" s="39" t="s">
        <v>90</v>
      </c>
      <c r="W142" s="40"/>
    </row>
    <row r="143" customFormat="false" ht="30" hidden="false" customHeight="true" outlineLevel="0" collapsed="false">
      <c r="A143" s="33" t="s">
        <v>1581</v>
      </c>
      <c r="B143" s="34" t="s">
        <v>1245</v>
      </c>
      <c r="C143" s="34" t="s">
        <v>194</v>
      </c>
      <c r="D143" s="33" t="s">
        <v>1239</v>
      </c>
      <c r="E143" s="34" t="s">
        <v>1240</v>
      </c>
      <c r="F143" s="34" t="s">
        <v>1428</v>
      </c>
      <c r="G143" s="33" t="s">
        <v>194</v>
      </c>
      <c r="H143" s="33" t="s">
        <v>279</v>
      </c>
      <c r="I143" s="33" t="s">
        <v>711</v>
      </c>
      <c r="J143" s="34" t="s">
        <v>1246</v>
      </c>
      <c r="K143" s="33" t="s">
        <v>1244</v>
      </c>
      <c r="L143" s="33" t="s">
        <v>194</v>
      </c>
      <c r="M143" s="33" t="s">
        <v>203</v>
      </c>
      <c r="N143" s="34" t="s">
        <v>1247</v>
      </c>
      <c r="O143" s="34" t="s">
        <v>348</v>
      </c>
      <c r="P143" s="33" t="s">
        <v>110</v>
      </c>
      <c r="Q143" s="33" t="s">
        <v>1248</v>
      </c>
      <c r="R143" s="34" t="s">
        <v>1429</v>
      </c>
      <c r="S143" s="33" t="s">
        <v>77</v>
      </c>
      <c r="T143" s="33" t="s">
        <v>101</v>
      </c>
      <c r="U143" s="33" t="s">
        <v>93</v>
      </c>
      <c r="V143" s="33" t="s">
        <v>84</v>
      </c>
      <c r="W143" s="34" t="s">
        <v>1250</v>
      </c>
    </row>
    <row r="144" customFormat="false" ht="30" hidden="false" customHeight="true" outlineLevel="0" collapsed="false">
      <c r="A144" s="39" t="s">
        <v>1582</v>
      </c>
      <c r="B144" s="40" t="s">
        <v>1251</v>
      </c>
      <c r="C144" s="40" t="s">
        <v>194</v>
      </c>
      <c r="D144" s="39" t="s">
        <v>1239</v>
      </c>
      <c r="E144" s="40" t="s">
        <v>1240</v>
      </c>
      <c r="F144" s="40" t="s">
        <v>1428</v>
      </c>
      <c r="G144" s="39" t="s">
        <v>194</v>
      </c>
      <c r="H144" s="39" t="s">
        <v>279</v>
      </c>
      <c r="I144" s="39" t="s">
        <v>1253</v>
      </c>
      <c r="J144" s="40" t="s">
        <v>1252</v>
      </c>
      <c r="K144" s="39" t="s">
        <v>1244</v>
      </c>
      <c r="L144" s="39" t="s">
        <v>194</v>
      </c>
      <c r="M144" s="39" t="s">
        <v>203</v>
      </c>
      <c r="N144" s="40" t="s">
        <v>1254</v>
      </c>
      <c r="O144" s="40" t="s">
        <v>181</v>
      </c>
      <c r="P144" s="39" t="s">
        <v>110</v>
      </c>
      <c r="Q144" s="39" t="s">
        <v>1248</v>
      </c>
      <c r="R144" s="40" t="s">
        <v>1429</v>
      </c>
      <c r="S144" s="39" t="s">
        <v>77</v>
      </c>
      <c r="T144" s="39" t="s">
        <v>101</v>
      </c>
      <c r="U144" s="39" t="s">
        <v>95</v>
      </c>
      <c r="V144" s="39" t="s">
        <v>86</v>
      </c>
      <c r="W144" s="40" t="s">
        <v>1255</v>
      </c>
    </row>
    <row r="145" customFormat="false" ht="30" hidden="false" customHeight="true" outlineLevel="0" collapsed="false">
      <c r="A145" s="33" t="s">
        <v>1583</v>
      </c>
      <c r="B145" s="34" t="s">
        <v>1256</v>
      </c>
      <c r="C145" s="34" t="s">
        <v>194</v>
      </c>
      <c r="D145" s="33" t="s">
        <v>1239</v>
      </c>
      <c r="E145" s="34" t="s">
        <v>1240</v>
      </c>
      <c r="F145" s="34" t="s">
        <v>1428</v>
      </c>
      <c r="G145" s="33" t="s">
        <v>194</v>
      </c>
      <c r="H145" s="33" t="s">
        <v>279</v>
      </c>
      <c r="I145" s="33" t="s">
        <v>1259</v>
      </c>
      <c r="J145" s="34" t="s">
        <v>1257</v>
      </c>
      <c r="K145" s="33" t="s">
        <v>1244</v>
      </c>
      <c r="L145" s="33" t="s">
        <v>194</v>
      </c>
      <c r="M145" s="33" t="s">
        <v>203</v>
      </c>
      <c r="N145" s="34" t="s">
        <v>1260</v>
      </c>
      <c r="O145" s="34" t="s">
        <v>1261</v>
      </c>
      <c r="P145" s="33" t="s">
        <v>106</v>
      </c>
      <c r="Q145" s="33" t="s">
        <v>286</v>
      </c>
      <c r="R145" s="34" t="s">
        <v>1429</v>
      </c>
      <c r="S145" s="33" t="s">
        <v>77</v>
      </c>
      <c r="T145" s="33" t="s">
        <v>99</v>
      </c>
      <c r="U145" s="33" t="s">
        <v>95</v>
      </c>
      <c r="V145" s="33" t="s">
        <v>86</v>
      </c>
      <c r="W145" s="34" t="s">
        <v>1263</v>
      </c>
    </row>
    <row r="146" customFormat="false" ht="30" hidden="false" customHeight="true" outlineLevel="0" collapsed="false">
      <c r="A146" s="39" t="s">
        <v>1584</v>
      </c>
      <c r="B146" s="40" t="s">
        <v>1265</v>
      </c>
      <c r="C146" s="40" t="s">
        <v>194</v>
      </c>
      <c r="D146" s="39" t="s">
        <v>1239</v>
      </c>
      <c r="E146" s="40" t="s">
        <v>1240</v>
      </c>
      <c r="F146" s="40" t="s">
        <v>1428</v>
      </c>
      <c r="G146" s="39" t="s">
        <v>194</v>
      </c>
      <c r="H146" s="39" t="s">
        <v>279</v>
      </c>
      <c r="I146" s="39" t="s">
        <v>547</v>
      </c>
      <c r="J146" s="40" t="s">
        <v>1266</v>
      </c>
      <c r="K146" s="39" t="s">
        <v>1244</v>
      </c>
      <c r="L146" s="39" t="s">
        <v>194</v>
      </c>
      <c r="M146" s="39" t="s">
        <v>203</v>
      </c>
      <c r="N146" s="40" t="s">
        <v>1267</v>
      </c>
      <c r="O146" s="40" t="s">
        <v>177</v>
      </c>
      <c r="P146" s="39" t="s">
        <v>110</v>
      </c>
      <c r="Q146" s="39" t="s">
        <v>1268</v>
      </c>
      <c r="R146" s="40" t="s">
        <v>1429</v>
      </c>
      <c r="S146" s="39" t="s">
        <v>77</v>
      </c>
      <c r="T146" s="39" t="s">
        <v>101</v>
      </c>
      <c r="U146" s="39" t="s">
        <v>95</v>
      </c>
      <c r="V146" s="39" t="s">
        <v>86</v>
      </c>
      <c r="W146" s="40" t="s">
        <v>1269</v>
      </c>
    </row>
    <row r="147" customFormat="false" ht="30" hidden="false" customHeight="true" outlineLevel="0" collapsed="false">
      <c r="A147" s="33" t="s">
        <v>1585</v>
      </c>
      <c r="B147" s="34" t="s">
        <v>1270</v>
      </c>
      <c r="C147" s="34" t="s">
        <v>194</v>
      </c>
      <c r="D147" s="33" t="s">
        <v>1239</v>
      </c>
      <c r="E147" s="34" t="s">
        <v>1240</v>
      </c>
      <c r="F147" s="34" t="s">
        <v>1428</v>
      </c>
      <c r="G147" s="33" t="s">
        <v>194</v>
      </c>
      <c r="H147" s="33" t="s">
        <v>279</v>
      </c>
      <c r="I147" s="33" t="s">
        <v>1073</v>
      </c>
      <c r="J147" s="34" t="s">
        <v>1271</v>
      </c>
      <c r="K147" s="33" t="s">
        <v>1244</v>
      </c>
      <c r="L147" s="33" t="s">
        <v>194</v>
      </c>
      <c r="M147" s="33" t="s">
        <v>203</v>
      </c>
      <c r="N147" s="34" t="s">
        <v>1272</v>
      </c>
      <c r="O147" s="34" t="s">
        <v>688</v>
      </c>
      <c r="P147" s="33" t="s">
        <v>108</v>
      </c>
      <c r="Q147" s="33" t="s">
        <v>1273</v>
      </c>
      <c r="R147" s="34" t="s">
        <v>1429</v>
      </c>
      <c r="S147" s="33" t="s">
        <v>77</v>
      </c>
      <c r="T147" s="33" t="s">
        <v>101</v>
      </c>
      <c r="U147" s="33" t="s">
        <v>93</v>
      </c>
      <c r="V147" s="33" t="s">
        <v>84</v>
      </c>
      <c r="W147" s="34" t="s">
        <v>1276</v>
      </c>
    </row>
    <row r="148" customFormat="false" ht="30" hidden="false" customHeight="true" outlineLevel="0" collapsed="false">
      <c r="A148" s="39" t="s">
        <v>1586</v>
      </c>
      <c r="B148" s="40" t="s">
        <v>1277</v>
      </c>
      <c r="C148" s="40" t="s">
        <v>194</v>
      </c>
      <c r="D148" s="39" t="s">
        <v>1239</v>
      </c>
      <c r="E148" s="40" t="s">
        <v>1240</v>
      </c>
      <c r="F148" s="40" t="s">
        <v>1428</v>
      </c>
      <c r="G148" s="39" t="s">
        <v>194</v>
      </c>
      <c r="H148" s="39" t="s">
        <v>279</v>
      </c>
      <c r="I148" s="39" t="s">
        <v>547</v>
      </c>
      <c r="J148" s="40" t="s">
        <v>1278</v>
      </c>
      <c r="K148" s="39" t="s">
        <v>1244</v>
      </c>
      <c r="L148" s="39" t="s">
        <v>194</v>
      </c>
      <c r="M148" s="39" t="s">
        <v>203</v>
      </c>
      <c r="N148" s="40" t="s">
        <v>1279</v>
      </c>
      <c r="O148" s="40" t="s">
        <v>817</v>
      </c>
      <c r="P148" s="39" t="s">
        <v>110</v>
      </c>
      <c r="Q148" s="39" t="s">
        <v>236</v>
      </c>
      <c r="R148" s="40" t="s">
        <v>1429</v>
      </c>
      <c r="S148" s="39" t="s">
        <v>77</v>
      </c>
      <c r="T148" s="39" t="s">
        <v>101</v>
      </c>
      <c r="U148" s="39" t="s">
        <v>95</v>
      </c>
      <c r="V148" s="39" t="s">
        <v>86</v>
      </c>
      <c r="W148" s="40" t="s">
        <v>1280</v>
      </c>
    </row>
    <row r="149" customFormat="false" ht="30" hidden="false" customHeight="true" outlineLevel="0" collapsed="false">
      <c r="A149" s="33" t="s">
        <v>1587</v>
      </c>
      <c r="B149" s="34" t="s">
        <v>1281</v>
      </c>
      <c r="C149" s="34" t="s">
        <v>194</v>
      </c>
      <c r="D149" s="33" t="s">
        <v>1239</v>
      </c>
      <c r="E149" s="34" t="s">
        <v>1240</v>
      </c>
      <c r="F149" s="34" t="s">
        <v>1428</v>
      </c>
      <c r="G149" s="33" t="s">
        <v>194</v>
      </c>
      <c r="H149" s="33" t="s">
        <v>279</v>
      </c>
      <c r="I149" s="33" t="s">
        <v>547</v>
      </c>
      <c r="J149" s="34" t="s">
        <v>1282</v>
      </c>
      <c r="K149" s="33" t="s">
        <v>1244</v>
      </c>
      <c r="L149" s="33" t="s">
        <v>194</v>
      </c>
      <c r="M149" s="33" t="s">
        <v>203</v>
      </c>
      <c r="N149" s="34" t="s">
        <v>1283</v>
      </c>
      <c r="O149" s="34" t="s">
        <v>177</v>
      </c>
      <c r="P149" s="33" t="s">
        <v>110</v>
      </c>
      <c r="Q149" s="33" t="s">
        <v>236</v>
      </c>
      <c r="R149" s="34" t="s">
        <v>1429</v>
      </c>
      <c r="S149" s="33" t="s">
        <v>77</v>
      </c>
      <c r="T149" s="33" t="s">
        <v>101</v>
      </c>
      <c r="U149" s="33" t="s">
        <v>93</v>
      </c>
      <c r="V149" s="33" t="s">
        <v>84</v>
      </c>
      <c r="W149" s="34" t="s">
        <v>1284</v>
      </c>
    </row>
  </sheetData>
  <mergeCells count="1">
    <mergeCell ref="A1:W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9" min="7" style="0" width="11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26"/>
  </cols>
  <sheetData>
    <row r="1" customFormat="false" ht="21.75" hidden="false" customHeight="true" outlineLevel="0" collapsed="false">
      <c r="A1" s="31" t="s">
        <v>1588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customFormat="false" ht="19.4" hidden="false" customHeight="false" outlineLevel="0" collapsed="false">
      <c r="A2" s="32" t="s">
        <v>141</v>
      </c>
      <c r="B2" s="32" t="s">
        <v>1589</v>
      </c>
      <c r="C2" s="32" t="s">
        <v>1590</v>
      </c>
      <c r="D2" s="32" t="s">
        <v>1591</v>
      </c>
      <c r="E2" s="32" t="s">
        <v>37</v>
      </c>
      <c r="F2" s="32" t="s">
        <v>93</v>
      </c>
      <c r="G2" s="32" t="s">
        <v>1592</v>
      </c>
      <c r="H2" s="32" t="s">
        <v>1593</v>
      </c>
      <c r="I2" s="32" t="s">
        <v>1594</v>
      </c>
      <c r="J2" s="32" t="s">
        <v>1595</v>
      </c>
      <c r="K2" s="32" t="s">
        <v>1596</v>
      </c>
      <c r="L2" s="32" t="s">
        <v>16</v>
      </c>
    </row>
    <row r="3" customFormat="false" ht="27.75" hidden="false" customHeight="true" outlineLevel="0" collapsed="false">
      <c r="A3" s="39" t="s">
        <v>265</v>
      </c>
      <c r="B3" s="40" t="s">
        <v>271</v>
      </c>
      <c r="C3" s="40" t="s">
        <v>272</v>
      </c>
      <c r="D3" s="39" t="n">
        <v>10</v>
      </c>
      <c r="E3" s="39" t="n">
        <v>8</v>
      </c>
      <c r="F3" s="39" t="n">
        <v>0</v>
      </c>
      <c r="G3" s="39" t="n">
        <v>0</v>
      </c>
      <c r="H3" s="39" t="n">
        <v>10</v>
      </c>
      <c r="I3" s="39" t="n">
        <v>0</v>
      </c>
      <c r="J3" s="39" t="n">
        <v>0</v>
      </c>
      <c r="K3" s="39" t="n">
        <v>0</v>
      </c>
      <c r="L3" s="47" t="s">
        <v>1597</v>
      </c>
    </row>
    <row r="4" customFormat="false" ht="27.75" hidden="false" customHeight="true" outlineLevel="0" collapsed="false">
      <c r="A4" s="33" t="s">
        <v>357</v>
      </c>
      <c r="B4" s="34" t="s">
        <v>361</v>
      </c>
      <c r="C4" s="34" t="s">
        <v>362</v>
      </c>
      <c r="D4" s="33" t="n">
        <v>13</v>
      </c>
      <c r="E4" s="33" t="n">
        <v>7</v>
      </c>
      <c r="F4" s="33" t="n">
        <v>0</v>
      </c>
      <c r="G4" s="33" t="n">
        <v>0</v>
      </c>
      <c r="H4" s="33" t="n">
        <v>9</v>
      </c>
      <c r="I4" s="33" t="n">
        <v>4</v>
      </c>
      <c r="J4" s="33" t="n">
        <v>0</v>
      </c>
      <c r="K4" s="33" t="n">
        <v>0</v>
      </c>
      <c r="L4" s="47" t="s">
        <v>1597</v>
      </c>
    </row>
    <row r="5" customFormat="false" ht="27.75" hidden="false" customHeight="true" outlineLevel="0" collapsed="false">
      <c r="A5" s="39" t="s">
        <v>440</v>
      </c>
      <c r="B5" s="40" t="s">
        <v>444</v>
      </c>
      <c r="C5" s="40" t="s">
        <v>194</v>
      </c>
      <c r="D5" s="39" t="n">
        <v>5</v>
      </c>
      <c r="E5" s="39" t="n">
        <v>1</v>
      </c>
      <c r="F5" s="39" t="n">
        <v>0</v>
      </c>
      <c r="G5" s="39" t="n">
        <v>0</v>
      </c>
      <c r="H5" s="39" t="n">
        <v>0</v>
      </c>
      <c r="I5" s="39" t="n">
        <v>0</v>
      </c>
      <c r="J5" s="39" t="n">
        <v>0</v>
      </c>
      <c r="K5" s="37" t="n">
        <v>5</v>
      </c>
      <c r="L5" s="48" t="s">
        <v>1598</v>
      </c>
    </row>
    <row r="6" customFormat="false" ht="27.75" hidden="false" customHeight="true" outlineLevel="0" collapsed="false">
      <c r="A6" s="33" t="s">
        <v>472</v>
      </c>
      <c r="B6" s="34" t="s">
        <v>1599</v>
      </c>
      <c r="C6" s="34" t="s">
        <v>1600</v>
      </c>
      <c r="D6" s="33" t="n">
        <v>15</v>
      </c>
      <c r="E6" s="33" t="n">
        <v>10</v>
      </c>
      <c r="F6" s="33" t="n">
        <v>1</v>
      </c>
      <c r="G6" s="33" t="n">
        <v>0</v>
      </c>
      <c r="H6" s="33" t="n">
        <v>11</v>
      </c>
      <c r="I6" s="33" t="n">
        <v>4</v>
      </c>
      <c r="J6" s="33" t="n">
        <v>0</v>
      </c>
      <c r="K6" s="33" t="n">
        <v>0</v>
      </c>
      <c r="L6" s="47" t="s">
        <v>1597</v>
      </c>
    </row>
    <row r="7" customFormat="false" ht="27.75" hidden="false" customHeight="true" outlineLevel="0" collapsed="false">
      <c r="A7" s="39" t="s">
        <v>587</v>
      </c>
      <c r="B7" s="40" t="s">
        <v>593</v>
      </c>
      <c r="C7" s="40" t="s">
        <v>1601</v>
      </c>
      <c r="D7" s="39" t="n">
        <v>19</v>
      </c>
      <c r="E7" s="39" t="n">
        <v>18</v>
      </c>
      <c r="F7" s="39" t="n">
        <v>4</v>
      </c>
      <c r="G7" s="35" t="n">
        <v>18</v>
      </c>
      <c r="H7" s="39" t="n">
        <v>1</v>
      </c>
      <c r="I7" s="39" t="n">
        <v>0</v>
      </c>
      <c r="J7" s="39" t="n">
        <v>0</v>
      </c>
      <c r="K7" s="39" t="n">
        <v>0</v>
      </c>
      <c r="L7" s="46" t="s">
        <v>1602</v>
      </c>
    </row>
    <row r="8" customFormat="false" ht="27.75" hidden="false" customHeight="true" outlineLevel="0" collapsed="false">
      <c r="A8" s="33" t="s">
        <v>736</v>
      </c>
      <c r="B8" s="34" t="s">
        <v>478</v>
      </c>
      <c r="C8" s="34" t="s">
        <v>479</v>
      </c>
      <c r="D8" s="33" t="n">
        <v>4</v>
      </c>
      <c r="E8" s="33" t="n">
        <v>2</v>
      </c>
      <c r="F8" s="33" t="n">
        <v>0</v>
      </c>
      <c r="G8" s="33" t="n">
        <v>0</v>
      </c>
      <c r="H8" s="33" t="n">
        <v>4</v>
      </c>
      <c r="I8" s="33" t="n">
        <v>0</v>
      </c>
      <c r="J8" s="33" t="n">
        <v>0</v>
      </c>
      <c r="K8" s="33" t="n">
        <v>0</v>
      </c>
      <c r="L8" s="47" t="s">
        <v>1597</v>
      </c>
    </row>
    <row r="9" customFormat="false" ht="27.75" hidden="false" customHeight="true" outlineLevel="0" collapsed="false">
      <c r="A9" s="39" t="s">
        <v>762</v>
      </c>
      <c r="B9" s="40" t="s">
        <v>478</v>
      </c>
      <c r="C9" s="40" t="s">
        <v>479</v>
      </c>
      <c r="D9" s="39" t="n">
        <v>3</v>
      </c>
      <c r="E9" s="39" t="n">
        <v>1</v>
      </c>
      <c r="F9" s="39" t="n">
        <v>0</v>
      </c>
      <c r="G9" s="39" t="n">
        <v>0</v>
      </c>
      <c r="H9" s="39" t="n">
        <v>0</v>
      </c>
      <c r="I9" s="39" t="n">
        <v>0</v>
      </c>
      <c r="J9" s="39" t="n">
        <v>0</v>
      </c>
      <c r="K9" s="37" t="n">
        <v>3</v>
      </c>
      <c r="L9" s="48" t="s">
        <v>1598</v>
      </c>
    </row>
    <row r="10" customFormat="false" ht="27.75" hidden="false" customHeight="true" outlineLevel="0" collapsed="false">
      <c r="A10" s="33" t="s">
        <v>776</v>
      </c>
      <c r="B10" s="34" t="s">
        <v>782</v>
      </c>
      <c r="C10" s="34" t="s">
        <v>783</v>
      </c>
      <c r="D10" s="33" t="n">
        <v>7</v>
      </c>
      <c r="E10" s="33" t="n">
        <v>5</v>
      </c>
      <c r="F10" s="33" t="n">
        <v>1</v>
      </c>
      <c r="G10" s="33" t="n">
        <v>0</v>
      </c>
      <c r="H10" s="33" t="n">
        <v>7</v>
      </c>
      <c r="I10" s="33" t="n">
        <v>0</v>
      </c>
      <c r="J10" s="33" t="n">
        <v>0</v>
      </c>
      <c r="K10" s="33" t="n">
        <v>0</v>
      </c>
      <c r="L10" s="47" t="s">
        <v>1597</v>
      </c>
    </row>
    <row r="11" customFormat="false" ht="27.75" hidden="false" customHeight="true" outlineLevel="0" collapsed="false">
      <c r="A11" s="39" t="s">
        <v>824</v>
      </c>
      <c r="B11" s="40" t="s">
        <v>830</v>
      </c>
      <c r="C11" s="40" t="s">
        <v>1603</v>
      </c>
      <c r="D11" s="39" t="n">
        <v>8</v>
      </c>
      <c r="E11" s="39" t="n">
        <v>7</v>
      </c>
      <c r="F11" s="39" t="n">
        <v>0</v>
      </c>
      <c r="G11" s="39" t="n">
        <v>0</v>
      </c>
      <c r="H11" s="39" t="n">
        <v>3</v>
      </c>
      <c r="I11" s="39" t="n">
        <v>5</v>
      </c>
      <c r="J11" s="39" t="n">
        <v>0</v>
      </c>
      <c r="K11" s="39" t="n">
        <v>0</v>
      </c>
      <c r="L11" s="50" t="s">
        <v>1604</v>
      </c>
    </row>
    <row r="12" customFormat="false" ht="27.75" hidden="false" customHeight="true" outlineLevel="0" collapsed="false">
      <c r="A12" s="33" t="s">
        <v>884</v>
      </c>
      <c r="B12" s="34" t="s">
        <v>782</v>
      </c>
      <c r="C12" s="34" t="s">
        <v>783</v>
      </c>
      <c r="D12" s="33" t="n">
        <v>3</v>
      </c>
      <c r="E12" s="33" t="n">
        <v>1</v>
      </c>
      <c r="F12" s="33" t="n">
        <v>0</v>
      </c>
      <c r="G12" s="33" t="n">
        <v>0</v>
      </c>
      <c r="H12" s="33" t="n">
        <v>0</v>
      </c>
      <c r="I12" s="33" t="n">
        <v>1</v>
      </c>
      <c r="J12" s="33" t="n">
        <v>0</v>
      </c>
      <c r="K12" s="37" t="n">
        <v>2</v>
      </c>
      <c r="L12" s="48" t="s">
        <v>1598</v>
      </c>
    </row>
    <row r="13" customFormat="false" ht="27.75" hidden="false" customHeight="true" outlineLevel="0" collapsed="false">
      <c r="A13" s="39" t="s">
        <v>906</v>
      </c>
      <c r="B13" s="40" t="s">
        <v>1605</v>
      </c>
      <c r="C13" s="40" t="s">
        <v>1606</v>
      </c>
      <c r="D13" s="39" t="n">
        <v>16</v>
      </c>
      <c r="E13" s="39" t="n">
        <v>15</v>
      </c>
      <c r="F13" s="39" t="n">
        <v>2</v>
      </c>
      <c r="G13" s="35" t="n">
        <v>11</v>
      </c>
      <c r="H13" s="39" t="n">
        <v>4</v>
      </c>
      <c r="I13" s="39" t="n">
        <v>1</v>
      </c>
      <c r="J13" s="39" t="n">
        <v>0</v>
      </c>
      <c r="K13" s="39" t="n">
        <v>0</v>
      </c>
      <c r="L13" s="46" t="s">
        <v>1602</v>
      </c>
    </row>
    <row r="14" customFormat="false" ht="27.75" hidden="false" customHeight="true" outlineLevel="0" collapsed="false">
      <c r="A14" s="33" t="s">
        <v>1013</v>
      </c>
      <c r="B14" s="34" t="s">
        <v>1018</v>
      </c>
      <c r="C14" s="34" t="s">
        <v>1607</v>
      </c>
      <c r="D14" s="33" t="n">
        <v>13</v>
      </c>
      <c r="E14" s="33" t="n">
        <v>11</v>
      </c>
      <c r="F14" s="33" t="n">
        <v>0</v>
      </c>
      <c r="G14" s="35" t="n">
        <v>10</v>
      </c>
      <c r="H14" s="33" t="n">
        <v>0</v>
      </c>
      <c r="I14" s="33" t="n">
        <v>3</v>
      </c>
      <c r="J14" s="33" t="n">
        <v>0</v>
      </c>
      <c r="K14" s="33" t="n">
        <v>0</v>
      </c>
      <c r="L14" s="46" t="s">
        <v>1602</v>
      </c>
    </row>
    <row r="15" customFormat="false" ht="27.75" hidden="false" customHeight="true" outlineLevel="0" collapsed="false">
      <c r="A15" s="39" t="s">
        <v>1120</v>
      </c>
      <c r="B15" s="40" t="s">
        <v>1126</v>
      </c>
      <c r="C15" s="40" t="s">
        <v>1128</v>
      </c>
      <c r="D15" s="39" t="n">
        <v>11</v>
      </c>
      <c r="E15" s="39" t="n">
        <v>9</v>
      </c>
      <c r="F15" s="39" t="n">
        <v>0</v>
      </c>
      <c r="G15" s="39" t="n">
        <v>0</v>
      </c>
      <c r="H15" s="39" t="n">
        <v>6</v>
      </c>
      <c r="I15" s="39" t="n">
        <v>5</v>
      </c>
      <c r="J15" s="39" t="n">
        <v>0</v>
      </c>
      <c r="K15" s="39" t="n">
        <v>0</v>
      </c>
      <c r="L15" s="47" t="s">
        <v>1597</v>
      </c>
    </row>
    <row r="16" customFormat="false" ht="27.75" hidden="false" customHeight="true" outlineLevel="0" collapsed="false">
      <c r="A16" s="33" t="s">
        <v>1204</v>
      </c>
      <c r="B16" s="34" t="s">
        <v>213</v>
      </c>
      <c r="C16" s="34" t="s">
        <v>194</v>
      </c>
      <c r="D16" s="33" t="n">
        <v>5</v>
      </c>
      <c r="E16" s="33" t="n">
        <v>4</v>
      </c>
      <c r="F16" s="33" t="n">
        <v>0</v>
      </c>
      <c r="G16" s="33" t="n">
        <v>0</v>
      </c>
      <c r="H16" s="33" t="n">
        <v>0</v>
      </c>
      <c r="I16" s="33" t="n">
        <v>5</v>
      </c>
      <c r="J16" s="33" t="n">
        <v>0</v>
      </c>
      <c r="K16" s="33" t="n">
        <v>0</v>
      </c>
      <c r="L16" s="50" t="s">
        <v>1604</v>
      </c>
    </row>
    <row r="17" customFormat="false" ht="15" hidden="false" customHeight="false" outlineLevel="0" collapsed="false">
      <c r="A17" s="51" t="s">
        <v>1608</v>
      </c>
      <c r="B17" s="52"/>
      <c r="C17" s="52"/>
      <c r="D17" s="53" t="n">
        <v>132</v>
      </c>
      <c r="E17" s="53" t="n">
        <v>99</v>
      </c>
      <c r="F17" s="53" t="n">
        <v>8</v>
      </c>
      <c r="G17" s="53" t="n">
        <v>39</v>
      </c>
      <c r="H17" s="53" t="n">
        <v>55</v>
      </c>
      <c r="I17" s="53" t="n">
        <v>28</v>
      </c>
      <c r="J17" s="53" t="n">
        <v>0</v>
      </c>
      <c r="K17" s="53" t="n">
        <v>10</v>
      </c>
      <c r="L17" s="52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36"/>
    <col collapsed="false" customWidth="true" hidden="false" outlineLevel="0" max="7" min="7" style="0" width="32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21.75" hidden="false" customHeight="true" outlineLevel="0" collapsed="false">
      <c r="A1" s="31" t="s">
        <v>1609</v>
      </c>
      <c r="B1" s="31"/>
      <c r="C1" s="31"/>
      <c r="D1" s="31"/>
      <c r="E1" s="31"/>
      <c r="F1" s="31"/>
      <c r="G1" s="31"/>
      <c r="H1" s="31"/>
      <c r="I1" s="31"/>
      <c r="J1" s="31"/>
    </row>
    <row r="2" customFormat="false" ht="15" hidden="false" customHeight="false" outlineLevel="0" collapsed="false">
      <c r="A2" s="32" t="s">
        <v>1610</v>
      </c>
      <c r="B2" s="32" t="s">
        <v>1611</v>
      </c>
      <c r="C2" s="32" t="s">
        <v>1612</v>
      </c>
      <c r="D2" s="32" t="s">
        <v>1613</v>
      </c>
      <c r="E2" s="32" t="s">
        <v>1614</v>
      </c>
      <c r="F2" s="32" t="s">
        <v>1615</v>
      </c>
      <c r="G2" s="32" t="s">
        <v>1616</v>
      </c>
      <c r="H2" s="32" t="s">
        <v>1617</v>
      </c>
      <c r="I2" s="32" t="s">
        <v>188</v>
      </c>
      <c r="J2" s="32" t="s">
        <v>16</v>
      </c>
    </row>
    <row r="3" customFormat="false" ht="31.5" hidden="false" customHeight="true" outlineLevel="0" collapsed="false">
      <c r="A3" s="34" t="s">
        <v>1618</v>
      </c>
      <c r="B3" s="34" t="s">
        <v>1619</v>
      </c>
      <c r="C3" s="34" t="s">
        <v>1620</v>
      </c>
      <c r="D3" s="34" t="s">
        <v>1621</v>
      </c>
      <c r="E3" s="34" t="s">
        <v>1622</v>
      </c>
      <c r="F3" s="34" t="s">
        <v>1623</v>
      </c>
      <c r="G3" s="34" t="s">
        <v>1624</v>
      </c>
      <c r="H3" s="34" t="s">
        <v>1625</v>
      </c>
      <c r="I3" s="37" t="s">
        <v>1626</v>
      </c>
      <c r="J3" s="34" t="s">
        <v>1627</v>
      </c>
    </row>
    <row r="4" customFormat="false" ht="31.5" hidden="false" customHeight="true" outlineLevel="0" collapsed="false">
      <c r="A4" s="40" t="s">
        <v>1628</v>
      </c>
      <c r="B4" s="40" t="s">
        <v>1629</v>
      </c>
      <c r="C4" s="40" t="s">
        <v>1630</v>
      </c>
      <c r="D4" s="40" t="s">
        <v>1631</v>
      </c>
      <c r="E4" s="40" t="s">
        <v>1632</v>
      </c>
      <c r="F4" s="40" t="s">
        <v>1633</v>
      </c>
      <c r="G4" s="40" t="s">
        <v>1634</v>
      </c>
      <c r="H4" s="40" t="s">
        <v>1635</v>
      </c>
      <c r="I4" s="37" t="s">
        <v>1626</v>
      </c>
      <c r="J4" s="40" t="s">
        <v>1627</v>
      </c>
    </row>
    <row r="5" customFormat="false" ht="31.5" hidden="false" customHeight="true" outlineLevel="0" collapsed="false">
      <c r="A5" s="34" t="s">
        <v>1636</v>
      </c>
      <c r="B5" s="34" t="s">
        <v>587</v>
      </c>
      <c r="C5" s="34" t="s">
        <v>1637</v>
      </c>
      <c r="D5" s="34" t="s">
        <v>1638</v>
      </c>
      <c r="E5" s="34" t="s">
        <v>1639</v>
      </c>
      <c r="F5" s="34" t="s">
        <v>1640</v>
      </c>
      <c r="G5" s="34" t="s">
        <v>1641</v>
      </c>
      <c r="H5" s="34" t="s">
        <v>1642</v>
      </c>
      <c r="I5" s="37" t="s">
        <v>1626</v>
      </c>
      <c r="J5" s="34" t="s">
        <v>1627</v>
      </c>
    </row>
    <row r="6" customFormat="false" ht="31.5" hidden="false" customHeight="true" outlineLevel="0" collapsed="false">
      <c r="A6" s="40" t="s">
        <v>1643</v>
      </c>
      <c r="B6" s="40" t="s">
        <v>1644</v>
      </c>
      <c r="C6" s="40" t="s">
        <v>1645</v>
      </c>
      <c r="D6" s="40" t="s">
        <v>1646</v>
      </c>
      <c r="E6" s="40" t="s">
        <v>1647</v>
      </c>
      <c r="F6" s="40" t="s">
        <v>1648</v>
      </c>
      <c r="G6" s="40" t="s">
        <v>1649</v>
      </c>
      <c r="H6" s="40" t="s">
        <v>1650</v>
      </c>
      <c r="I6" s="36" t="s">
        <v>1312</v>
      </c>
      <c r="J6" s="40" t="s">
        <v>1627</v>
      </c>
    </row>
    <row r="7" customFormat="false" ht="31.5" hidden="false" customHeight="true" outlineLevel="0" collapsed="false">
      <c r="A7" s="34" t="s">
        <v>1651</v>
      </c>
      <c r="B7" s="34" t="s">
        <v>1652</v>
      </c>
      <c r="C7" s="34" t="s">
        <v>1653</v>
      </c>
      <c r="D7" s="34" t="s">
        <v>1654</v>
      </c>
      <c r="E7" s="34" t="s">
        <v>1655</v>
      </c>
      <c r="F7" s="34" t="s">
        <v>1656</v>
      </c>
      <c r="G7" s="34" t="s">
        <v>1657</v>
      </c>
      <c r="H7" s="34" t="s">
        <v>1650</v>
      </c>
      <c r="I7" s="36" t="s">
        <v>1312</v>
      </c>
      <c r="J7" s="34" t="s">
        <v>1627</v>
      </c>
    </row>
    <row r="8" customFormat="false" ht="31.5" hidden="false" customHeight="true" outlineLevel="0" collapsed="false">
      <c r="A8" s="40" t="s">
        <v>1658</v>
      </c>
      <c r="B8" s="40" t="s">
        <v>1659</v>
      </c>
      <c r="C8" s="40" t="s">
        <v>1660</v>
      </c>
      <c r="D8" s="40" t="s">
        <v>1661</v>
      </c>
      <c r="E8" s="40" t="s">
        <v>1662</v>
      </c>
      <c r="F8" s="40" t="s">
        <v>1663</v>
      </c>
      <c r="G8" s="40" t="s">
        <v>1664</v>
      </c>
      <c r="H8" s="40" t="s">
        <v>1665</v>
      </c>
      <c r="I8" s="36" t="s">
        <v>1312</v>
      </c>
      <c r="J8" s="40" t="s">
        <v>1627</v>
      </c>
    </row>
    <row r="9" customFormat="false" ht="31.5" hidden="false" customHeight="true" outlineLevel="0" collapsed="false">
      <c r="A9" s="34" t="s">
        <v>1666</v>
      </c>
      <c r="B9" s="34" t="s">
        <v>1667</v>
      </c>
      <c r="C9" s="34" t="s">
        <v>1668</v>
      </c>
      <c r="D9" s="34" t="s">
        <v>1669</v>
      </c>
      <c r="E9" s="34" t="s">
        <v>1670</v>
      </c>
      <c r="F9" s="34" t="s">
        <v>1671</v>
      </c>
      <c r="G9" s="34" t="s">
        <v>1672</v>
      </c>
      <c r="H9" s="34" t="s">
        <v>1673</v>
      </c>
      <c r="I9" s="36" t="s">
        <v>1312</v>
      </c>
      <c r="J9" s="34" t="s">
        <v>1627</v>
      </c>
    </row>
    <row r="10" customFormat="false" ht="31.5" hidden="false" customHeight="true" outlineLevel="0" collapsed="false">
      <c r="A10" s="40" t="s">
        <v>1674</v>
      </c>
      <c r="B10" s="40" t="s">
        <v>1675</v>
      </c>
      <c r="C10" s="40" t="s">
        <v>1676</v>
      </c>
      <c r="D10" s="40" t="s">
        <v>1677</v>
      </c>
      <c r="E10" s="40" t="s">
        <v>1678</v>
      </c>
      <c r="F10" s="40" t="s">
        <v>1679</v>
      </c>
      <c r="G10" s="40" t="s">
        <v>1680</v>
      </c>
      <c r="H10" s="40" t="s">
        <v>1681</v>
      </c>
      <c r="I10" s="37" t="s">
        <v>1626</v>
      </c>
      <c r="J10" s="40" t="s">
        <v>1627</v>
      </c>
    </row>
    <row r="11" customFormat="false" ht="31.5" hidden="false" customHeight="true" outlineLevel="0" collapsed="false">
      <c r="A11" s="34" t="s">
        <v>1682</v>
      </c>
      <c r="B11" s="34" t="s">
        <v>1683</v>
      </c>
      <c r="C11" s="34" t="s">
        <v>1684</v>
      </c>
      <c r="D11" s="34" t="s">
        <v>1685</v>
      </c>
      <c r="E11" s="34" t="s">
        <v>1686</v>
      </c>
      <c r="F11" s="34" t="s">
        <v>1687</v>
      </c>
      <c r="G11" s="34" t="s">
        <v>1688</v>
      </c>
      <c r="H11" s="34" t="s">
        <v>1689</v>
      </c>
      <c r="I11" s="43" t="s">
        <v>1690</v>
      </c>
      <c r="J11" s="34" t="s">
        <v>1691</v>
      </c>
    </row>
    <row r="12" customFormat="false" ht="31.5" hidden="false" customHeight="true" outlineLevel="0" collapsed="false">
      <c r="A12" s="40" t="s">
        <v>1692</v>
      </c>
      <c r="B12" s="40" t="s">
        <v>1693</v>
      </c>
      <c r="C12" s="40" t="s">
        <v>1694</v>
      </c>
      <c r="D12" s="40" t="s">
        <v>1695</v>
      </c>
      <c r="E12" s="40" t="s">
        <v>1696</v>
      </c>
      <c r="F12" s="40" t="s">
        <v>1697</v>
      </c>
      <c r="G12" s="40" t="s">
        <v>1698</v>
      </c>
      <c r="H12" s="40" t="s">
        <v>1699</v>
      </c>
      <c r="I12" s="36" t="s">
        <v>1312</v>
      </c>
      <c r="J12" s="40" t="s">
        <v>1691</v>
      </c>
    </row>
    <row r="13" customFormat="false" ht="31.5" hidden="false" customHeight="true" outlineLevel="0" collapsed="false">
      <c r="A13" s="34" t="s">
        <v>1700</v>
      </c>
      <c r="B13" s="34" t="s">
        <v>1701</v>
      </c>
      <c r="C13" s="34" t="s">
        <v>1702</v>
      </c>
      <c r="D13" s="34" t="s">
        <v>1703</v>
      </c>
      <c r="E13" s="34" t="s">
        <v>1704</v>
      </c>
      <c r="F13" s="34" t="s">
        <v>1705</v>
      </c>
      <c r="G13" s="34" t="s">
        <v>1706</v>
      </c>
      <c r="H13" s="34" t="s">
        <v>1707</v>
      </c>
      <c r="I13" s="36" t="s">
        <v>1312</v>
      </c>
      <c r="J13" s="34" t="s">
        <v>1627</v>
      </c>
    </row>
    <row r="14" customFormat="false" ht="31.5" hidden="false" customHeight="true" outlineLevel="0" collapsed="false">
      <c r="A14" s="40" t="s">
        <v>1708</v>
      </c>
      <c r="B14" s="40" t="s">
        <v>196</v>
      </c>
      <c r="C14" s="40" t="s">
        <v>1709</v>
      </c>
      <c r="D14" s="40" t="s">
        <v>1710</v>
      </c>
      <c r="E14" s="40" t="s">
        <v>1711</v>
      </c>
      <c r="F14" s="40" t="s">
        <v>1712</v>
      </c>
      <c r="G14" s="40" t="s">
        <v>1713</v>
      </c>
      <c r="H14" s="40" t="s">
        <v>1714</v>
      </c>
      <c r="I14" s="36" t="s">
        <v>1312</v>
      </c>
      <c r="J14" s="40" t="s">
        <v>1691</v>
      </c>
    </row>
    <row r="15" customFormat="false" ht="31.5" hidden="false" customHeight="true" outlineLevel="0" collapsed="false">
      <c r="A15" s="34" t="s">
        <v>1715</v>
      </c>
      <c r="B15" s="34" t="s">
        <v>1204</v>
      </c>
      <c r="C15" s="34" t="s">
        <v>1716</v>
      </c>
      <c r="D15" s="34" t="s">
        <v>1717</v>
      </c>
      <c r="E15" s="34" t="s">
        <v>1718</v>
      </c>
      <c r="F15" s="34" t="s">
        <v>1719</v>
      </c>
      <c r="G15" s="34" t="s">
        <v>1720</v>
      </c>
      <c r="H15" s="34" t="s">
        <v>1721</v>
      </c>
      <c r="I15" s="36" t="s">
        <v>1312</v>
      </c>
      <c r="J15" s="34" t="s">
        <v>1627</v>
      </c>
    </row>
    <row r="16" customFormat="false" ht="31.5" hidden="false" customHeight="true" outlineLevel="0" collapsed="false">
      <c r="A16" s="40" t="s">
        <v>1722</v>
      </c>
      <c r="B16" s="40" t="s">
        <v>1723</v>
      </c>
      <c r="C16" s="40" t="s">
        <v>1724</v>
      </c>
      <c r="D16" s="40" t="s">
        <v>1725</v>
      </c>
      <c r="E16" s="40" t="s">
        <v>1726</v>
      </c>
      <c r="F16" s="40" t="s">
        <v>1727</v>
      </c>
      <c r="G16" s="40" t="s">
        <v>1728</v>
      </c>
      <c r="H16" s="40" t="s">
        <v>1707</v>
      </c>
      <c r="I16" s="43" t="s">
        <v>1690</v>
      </c>
      <c r="J16" s="40" t="s">
        <v>1627</v>
      </c>
    </row>
    <row r="17" customFormat="false" ht="31.5" hidden="false" customHeight="true" outlineLevel="0" collapsed="false">
      <c r="A17" s="34" t="s">
        <v>1729</v>
      </c>
      <c r="B17" s="34" t="s">
        <v>1730</v>
      </c>
      <c r="C17" s="34" t="s">
        <v>1731</v>
      </c>
      <c r="D17" s="34" t="s">
        <v>1732</v>
      </c>
      <c r="E17" s="34" t="s">
        <v>1733</v>
      </c>
      <c r="F17" s="34" t="s">
        <v>1734</v>
      </c>
      <c r="G17" s="34" t="s">
        <v>1735</v>
      </c>
      <c r="H17" s="34" t="s">
        <v>1736</v>
      </c>
      <c r="I17" s="36" t="s">
        <v>1312</v>
      </c>
      <c r="J17" s="34" t="s">
        <v>1627</v>
      </c>
    </row>
    <row r="18" customFormat="false" ht="31.5" hidden="false" customHeight="true" outlineLevel="0" collapsed="false">
      <c r="A18" s="40" t="s">
        <v>1737</v>
      </c>
      <c r="B18" s="40" t="s">
        <v>1738</v>
      </c>
      <c r="C18" s="40" t="s">
        <v>1739</v>
      </c>
      <c r="D18" s="40" t="s">
        <v>1740</v>
      </c>
      <c r="E18" s="40" t="s">
        <v>1741</v>
      </c>
      <c r="F18" s="40" t="s">
        <v>1742</v>
      </c>
      <c r="G18" s="40" t="s">
        <v>1743</v>
      </c>
      <c r="H18" s="40" t="s">
        <v>1744</v>
      </c>
      <c r="I18" s="37" t="s">
        <v>1626</v>
      </c>
      <c r="J18" s="40" t="s">
        <v>1627</v>
      </c>
    </row>
    <row r="19" customFormat="false" ht="31.5" hidden="false" customHeight="true" outlineLevel="0" collapsed="false">
      <c r="A19" s="34" t="s">
        <v>1745</v>
      </c>
      <c r="B19" s="34" t="s">
        <v>176</v>
      </c>
      <c r="C19" s="34" t="s">
        <v>1746</v>
      </c>
      <c r="D19" s="34" t="s">
        <v>1747</v>
      </c>
      <c r="E19" s="34" t="s">
        <v>1748</v>
      </c>
      <c r="F19" s="34" t="s">
        <v>1749</v>
      </c>
      <c r="G19" s="34" t="s">
        <v>1750</v>
      </c>
      <c r="H19" s="34" t="s">
        <v>1751</v>
      </c>
      <c r="I19" s="37" t="s">
        <v>1626</v>
      </c>
      <c r="J19" s="34" t="s">
        <v>1627</v>
      </c>
    </row>
    <row r="20" customFormat="false" ht="31.5" hidden="false" customHeight="true" outlineLevel="0" collapsed="false">
      <c r="A20" s="40" t="s">
        <v>1752</v>
      </c>
      <c r="B20" s="40" t="s">
        <v>178</v>
      </c>
      <c r="C20" s="40" t="s">
        <v>1753</v>
      </c>
      <c r="D20" s="40" t="s">
        <v>1754</v>
      </c>
      <c r="E20" s="40" t="s">
        <v>1755</v>
      </c>
      <c r="F20" s="40" t="s">
        <v>1756</v>
      </c>
      <c r="G20" s="40" t="s">
        <v>1757</v>
      </c>
      <c r="H20" s="40" t="s">
        <v>1758</v>
      </c>
      <c r="I20" s="37" t="s">
        <v>1626</v>
      </c>
      <c r="J20" s="40" t="s">
        <v>1627</v>
      </c>
    </row>
    <row r="21" customFormat="false" ht="31.5" hidden="false" customHeight="true" outlineLevel="0" collapsed="false">
      <c r="A21" s="34" t="s">
        <v>1759</v>
      </c>
      <c r="B21" s="34" t="s">
        <v>1760</v>
      </c>
      <c r="C21" s="34" t="s">
        <v>1761</v>
      </c>
      <c r="D21" s="34" t="s">
        <v>1762</v>
      </c>
      <c r="E21" s="34" t="s">
        <v>1763</v>
      </c>
      <c r="F21" s="34" t="s">
        <v>1764</v>
      </c>
      <c r="G21" s="34" t="s">
        <v>1765</v>
      </c>
      <c r="H21" s="34" t="s">
        <v>1766</v>
      </c>
      <c r="I21" s="37" t="s">
        <v>1626</v>
      </c>
      <c r="J21" s="34" t="s">
        <v>1627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4" min="3" style="0" width="26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44"/>
  </cols>
  <sheetData>
    <row r="2" customFormat="false" ht="16.15" hidden="false" customHeight="false" outlineLevel="0" collapsed="false">
      <c r="B2" s="54" t="s">
        <v>1767</v>
      </c>
      <c r="C2" s="54"/>
      <c r="D2" s="54"/>
      <c r="E2" s="54"/>
      <c r="F2" s="54"/>
      <c r="G2" s="54"/>
    </row>
    <row r="3" customFormat="false" ht="15" hidden="false" customHeight="false" outlineLevel="0" collapsed="false">
      <c r="B3" s="10" t="s">
        <v>1768</v>
      </c>
      <c r="C3" s="10"/>
      <c r="D3" s="10"/>
      <c r="E3" s="10"/>
      <c r="F3" s="10"/>
      <c r="G3" s="10"/>
    </row>
    <row r="5" customFormat="false" ht="21.75" hidden="false" customHeight="true" outlineLevel="0" collapsed="false">
      <c r="B5" s="55" t="s">
        <v>1769</v>
      </c>
      <c r="C5" s="55"/>
      <c r="D5" s="55"/>
      <c r="E5" s="55"/>
      <c r="F5" s="55"/>
      <c r="G5" s="55"/>
    </row>
    <row r="6" customFormat="false" ht="15" hidden="false" customHeight="true" outlineLevel="0" collapsed="false">
      <c r="B6" s="56" t="s">
        <v>1770</v>
      </c>
      <c r="C6" s="56"/>
      <c r="D6" s="56"/>
      <c r="E6" s="56"/>
      <c r="F6" s="56"/>
      <c r="G6" s="56"/>
    </row>
    <row r="7" customFormat="false" ht="21.75" hidden="false" customHeight="true" outlineLevel="0" collapsed="false">
      <c r="B7" s="55" t="s">
        <v>1771</v>
      </c>
      <c r="C7" s="55"/>
      <c r="D7" s="55"/>
      <c r="E7" s="55"/>
      <c r="F7" s="55"/>
      <c r="G7" s="55"/>
    </row>
    <row r="8" customFormat="false" ht="15" hidden="false" customHeight="true" outlineLevel="0" collapsed="false">
      <c r="B8" s="56" t="s">
        <v>1770</v>
      </c>
      <c r="C8" s="56"/>
      <c r="D8" s="56"/>
      <c r="E8" s="56"/>
      <c r="F8" s="56"/>
      <c r="G8" s="56"/>
    </row>
    <row r="9" customFormat="false" ht="21.75" hidden="false" customHeight="true" outlineLevel="0" collapsed="false">
      <c r="B9" s="55" t="s">
        <v>1772</v>
      </c>
      <c r="C9" s="55"/>
      <c r="D9" s="55"/>
      <c r="E9" s="55"/>
      <c r="F9" s="55"/>
      <c r="G9" s="55"/>
    </row>
    <row r="10" customFormat="false" ht="15" hidden="false" customHeight="true" outlineLevel="0" collapsed="false">
      <c r="B10" s="56" t="s">
        <v>1770</v>
      </c>
      <c r="C10" s="56"/>
      <c r="D10" s="56"/>
      <c r="E10" s="56"/>
      <c r="F10" s="56"/>
      <c r="G10" s="56"/>
    </row>
    <row r="11" customFormat="false" ht="21.75" hidden="false" customHeight="true" outlineLevel="0" collapsed="false">
      <c r="B11" s="55" t="s">
        <v>1773</v>
      </c>
      <c r="C11" s="55"/>
      <c r="D11" s="55"/>
      <c r="E11" s="55"/>
      <c r="F11" s="55"/>
      <c r="G11" s="55"/>
    </row>
    <row r="12" customFormat="false" ht="15" hidden="false" customHeight="true" outlineLevel="0" collapsed="false">
      <c r="B12" s="56" t="s">
        <v>1770</v>
      </c>
      <c r="C12" s="56"/>
      <c r="D12" s="56"/>
      <c r="E12" s="56"/>
      <c r="F12" s="56"/>
      <c r="G12" s="56"/>
    </row>
    <row r="13" customFormat="false" ht="21.75" hidden="false" customHeight="true" outlineLevel="0" collapsed="false">
      <c r="B13" s="55" t="s">
        <v>1774</v>
      </c>
      <c r="C13" s="55"/>
      <c r="D13" s="55"/>
      <c r="E13" s="55"/>
      <c r="F13" s="55"/>
      <c r="G13" s="55"/>
    </row>
    <row r="15" customFormat="false" ht="15" hidden="false" customHeight="false" outlineLevel="0" collapsed="false">
      <c r="B15" s="57" t="s">
        <v>1775</v>
      </c>
      <c r="C15" s="57" t="s">
        <v>1776</v>
      </c>
      <c r="D15" s="57" t="s">
        <v>1777</v>
      </c>
      <c r="E15" s="57" t="s">
        <v>1778</v>
      </c>
      <c r="F15" s="57" t="s">
        <v>1779</v>
      </c>
      <c r="G15" s="57" t="s">
        <v>1780</v>
      </c>
    </row>
    <row r="16" customFormat="false" ht="27.75" hidden="false" customHeight="true" outlineLevel="0" collapsed="false">
      <c r="B16" s="34" t="s">
        <v>1781</v>
      </c>
      <c r="C16" s="34" t="s">
        <v>1782</v>
      </c>
      <c r="D16" s="34" t="s">
        <v>198</v>
      </c>
      <c r="E16" s="34" t="s">
        <v>1783</v>
      </c>
      <c r="F16" s="34" t="s">
        <v>1784</v>
      </c>
      <c r="G16" s="34" t="s">
        <v>1785</v>
      </c>
    </row>
    <row r="17" customFormat="false" ht="27.75" hidden="false" customHeight="true" outlineLevel="0" collapsed="false">
      <c r="B17" s="40" t="s">
        <v>1781</v>
      </c>
      <c r="C17" s="40" t="s">
        <v>1786</v>
      </c>
      <c r="D17" s="40" t="s">
        <v>1787</v>
      </c>
      <c r="E17" s="40" t="s">
        <v>1788</v>
      </c>
      <c r="F17" s="40" t="s">
        <v>1789</v>
      </c>
      <c r="G17" s="40" t="s">
        <v>1790</v>
      </c>
    </row>
    <row r="18" customFormat="false" ht="27.75" hidden="false" customHeight="true" outlineLevel="0" collapsed="false">
      <c r="B18" s="34" t="s">
        <v>1781</v>
      </c>
      <c r="C18" s="34" t="s">
        <v>1791</v>
      </c>
      <c r="D18" s="34" t="s">
        <v>1792</v>
      </c>
      <c r="E18" s="34" t="s">
        <v>1793</v>
      </c>
      <c r="F18" s="34" t="s">
        <v>1789</v>
      </c>
      <c r="G18" s="34" t="s">
        <v>205</v>
      </c>
    </row>
    <row r="19" customFormat="false" ht="27.75" hidden="false" customHeight="true" outlineLevel="0" collapsed="false">
      <c r="B19" s="40" t="s">
        <v>1781</v>
      </c>
      <c r="C19" s="40" t="s">
        <v>1794</v>
      </c>
      <c r="D19" s="40" t="s">
        <v>1795</v>
      </c>
      <c r="E19" s="40" t="s">
        <v>1796</v>
      </c>
      <c r="F19" s="40" t="s">
        <v>1789</v>
      </c>
      <c r="G19" s="40" t="s">
        <v>1797</v>
      </c>
    </row>
    <row r="20" customFormat="false" ht="27.75" hidden="false" customHeight="true" outlineLevel="0" collapsed="false">
      <c r="B20" s="34" t="s">
        <v>1798</v>
      </c>
      <c r="C20" s="34" t="s">
        <v>1799</v>
      </c>
      <c r="D20" s="34" t="s">
        <v>1800</v>
      </c>
      <c r="E20" s="34" t="s">
        <v>1801</v>
      </c>
      <c r="F20" s="34" t="s">
        <v>1802</v>
      </c>
      <c r="G20" s="34" t="s">
        <v>1803</v>
      </c>
    </row>
    <row r="21" customFormat="false" ht="27.75" hidden="false" customHeight="true" outlineLevel="0" collapsed="false">
      <c r="B21" s="40" t="s">
        <v>480</v>
      </c>
      <c r="C21" s="40" t="s">
        <v>1804</v>
      </c>
      <c r="D21" s="40" t="s">
        <v>1805</v>
      </c>
      <c r="E21" s="40" t="s">
        <v>1806</v>
      </c>
      <c r="F21" s="40" t="s">
        <v>1807</v>
      </c>
      <c r="G21" s="40" t="s">
        <v>1808</v>
      </c>
    </row>
    <row r="22" customFormat="false" ht="27.75" hidden="false" customHeight="true" outlineLevel="0" collapsed="false">
      <c r="B22" s="34" t="s">
        <v>480</v>
      </c>
      <c r="C22" s="34" t="s">
        <v>1809</v>
      </c>
      <c r="D22" s="34" t="s">
        <v>1810</v>
      </c>
      <c r="E22" s="34" t="s">
        <v>1811</v>
      </c>
      <c r="F22" s="34" t="s">
        <v>1807</v>
      </c>
      <c r="G22" s="34" t="s">
        <v>1812</v>
      </c>
    </row>
    <row r="23" customFormat="false" ht="27.75" hidden="false" customHeight="true" outlineLevel="0" collapsed="false">
      <c r="B23" s="40" t="s">
        <v>480</v>
      </c>
      <c r="C23" s="40" t="s">
        <v>1813</v>
      </c>
      <c r="D23" s="40" t="s">
        <v>1814</v>
      </c>
      <c r="E23" s="40" t="s">
        <v>1815</v>
      </c>
      <c r="F23" s="40" t="s">
        <v>1807</v>
      </c>
      <c r="G23" s="40" t="s">
        <v>1816</v>
      </c>
    </row>
    <row r="24" customFormat="false" ht="27.75" hidden="false" customHeight="true" outlineLevel="0" collapsed="false">
      <c r="B24" s="34" t="s">
        <v>480</v>
      </c>
      <c r="C24" s="34" t="s">
        <v>1817</v>
      </c>
      <c r="D24" s="34" t="s">
        <v>1818</v>
      </c>
      <c r="E24" s="34" t="s">
        <v>1819</v>
      </c>
      <c r="F24" s="34" t="s">
        <v>1820</v>
      </c>
      <c r="G24" s="34" t="s">
        <v>1821</v>
      </c>
    </row>
    <row r="25" customFormat="false" ht="27.75" hidden="false" customHeight="true" outlineLevel="0" collapsed="false">
      <c r="B25" s="40" t="s">
        <v>1822</v>
      </c>
      <c r="C25" s="40" t="s">
        <v>1823</v>
      </c>
      <c r="D25" s="40" t="s">
        <v>1270</v>
      </c>
      <c r="E25" s="40" t="s">
        <v>1824</v>
      </c>
      <c r="F25" s="40" t="s">
        <v>1825</v>
      </c>
      <c r="G25" s="40" t="s">
        <v>1826</v>
      </c>
    </row>
    <row r="26" customFormat="false" ht="27.75" hidden="false" customHeight="true" outlineLevel="0" collapsed="false">
      <c r="B26" s="34" t="s">
        <v>1822</v>
      </c>
      <c r="C26" s="34" t="s">
        <v>1827</v>
      </c>
      <c r="D26" s="34" t="s">
        <v>1828</v>
      </c>
      <c r="E26" s="34" t="s">
        <v>1829</v>
      </c>
      <c r="F26" s="34" t="s">
        <v>1830</v>
      </c>
      <c r="G26" s="34" t="s">
        <v>1831</v>
      </c>
    </row>
    <row r="27" customFormat="false" ht="27.75" hidden="false" customHeight="true" outlineLevel="0" collapsed="false">
      <c r="B27" s="40" t="s">
        <v>1832</v>
      </c>
      <c r="C27" s="40" t="s">
        <v>1833</v>
      </c>
      <c r="D27" s="40" t="s">
        <v>1834</v>
      </c>
      <c r="E27" s="40" t="s">
        <v>1835</v>
      </c>
      <c r="F27" s="40" t="s">
        <v>1836</v>
      </c>
      <c r="G27" s="40" t="s">
        <v>1837</v>
      </c>
    </row>
  </sheetData>
  <mergeCells count="11">
    <mergeCell ref="B2:G2"/>
    <mergeCell ref="B3:G3"/>
    <mergeCell ref="B5:G5"/>
    <mergeCell ref="B6:G6"/>
    <mergeCell ref="B7:G7"/>
    <mergeCell ref="B8:G8"/>
    <mergeCell ref="B9:G9"/>
    <mergeCell ref="B10:G10"/>
    <mergeCell ref="B11:G11"/>
    <mergeCell ref="B12:G12"/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2026-09-20T09:16:44Z</dcterms:created>
  <dc:creator>openpyxl</dc:creator>
  <dc:description/>
  <dc:language>en-US</dc:language>
  <cp:lastModifiedBy/>
  <dcterms:modified xsi:type="dcterms:W3CDTF">2026-09-20T09:16:45Z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