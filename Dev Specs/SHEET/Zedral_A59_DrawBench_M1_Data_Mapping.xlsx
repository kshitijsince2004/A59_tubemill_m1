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 &amp; Legend" sheetId="1" state="visible" r:id="rId3"/>
    <sheet name="Sheet Map" sheetId="2" state="visible" r:id="rId4"/>
    <sheet name="Field Register" sheetId="3" state="visible" r:id="rId5"/>
    <sheet name="ERP-WO Fields" sheetId="4" state="visible" r:id="rId6"/>
    <sheet name="PLC Connectivity" sheetId="5" state="visible" r:id="rId7"/>
    <sheet name="Bench Capability (Table-C)" sheetId="6" state="visible" r:id="rId8"/>
    <sheet name="Special Controls (Table-A)" sheetId="7" state="visible" r:id="rId9"/>
    <sheet name="Paint &amp; Swaging" sheetId="8" state="visible" r:id="rId10"/>
    <sheet name="Data Flow" sheetId="9" state="visible" r:id="rId11"/>
    <sheet name="Required Document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<sst xmlns="http://schemas.openxmlformats.org/spreadsheetml/2006/main" count="1199" uniqueCount="672">
  <si>
    <t xml:space="preserve">ZEDRAL  .  A-59 DRAW BENCH + SWAGING  .  M1 DATA MAPPING</t>
  </si>
  <si>
    <t xml:space="preserve">Goodluck India Limited . Sikandrabad . Cold-draw + swaging (A-51 / A-59 / A59-LDP) . v1.0</t>
  </si>
  <si>
    <t xml:space="preserve">Purpose</t>
  </si>
  <si>
    <t xml:space="preserve">Data mapping for M1 on the draw bench and swaging stages, same method as the tube-mill book: every shop-floor sheet field mapped to its digital field, capture class, source and target.</t>
  </si>
  <si>
    <t xml:space="preserve">Contrast with tube mill</t>
  </si>
  <si>
    <t xml:space="preserve">The draw bench is a batch, multi-machine, operator-recorded (L1) process. There is no continuous hourly parameter sheet and no auto downtime sheet. Draw speed is fixed by motor rpm, not logged. Dimensions are measured by hand.</t>
  </si>
  <si>
    <t xml:space="preserve">The sheets</t>
  </si>
  <si>
    <t xml:space="preserve">Machine check sheet (start of shift), Production + 1st-off/last-off inspection report, Die and plug history card, Swaging production report. Plus reference tables A (special controls), B (paint colour), C (bench capability).</t>
  </si>
  <si>
    <t xml:space="preserve">Multi-pass</t>
  </si>
  <si>
    <t xml:space="preserve">Drawing is a repeated cycle: Furnace, STP, Swage, Draw bench, Centreless straighten, repeated for 1st / 2nd / 3rd draw to final size. Capture keys on lot + work order + draw pass.</t>
  </si>
  <si>
    <t xml:space="preserve">PLC reality</t>
  </si>
  <si>
    <t xml:space="preserve">Draw-bench PLCs (DB-01..07) give production count, cycle time, pulling load and motor rpm only. Quality (OD/ID/THK/surface) stays MANUAL measurement. Connect DB-05/06/07 first (Ethernet-native).</t>
  </si>
  <si>
    <t xml:space="preserve">Update 20 Sep 2026</t>
  </si>
  <si>
    <t xml:space="preserve">Formats folder received. The production report is GLI-FT-PRD-DRW-01 (DB-FT-01, R6) with FROM/TO dims and accepted/rejected/drawn-meter; die history is DRW-03; a die &amp; plug issue slip DRW-08 and swaging reports SWG-FT-01/02 are now in hand. Only the machine check sheet DRAW-07 is still missing.</t>
  </si>
  <si>
    <t xml:space="preserve">LEGEND . capture class</t>
  </si>
  <si>
    <t xml:space="preserve">AUTO</t>
  </si>
  <si>
    <t xml:space="preserve">Machine reports it (bench PLC counter / load / cycle). No typing.</t>
  </si>
  <si>
    <t xml:space="preserve">DERIVED</t>
  </si>
  <si>
    <t xml:space="preserve">Pre-filled from the work order (ERP) or a master table. Operator confirms.</t>
  </si>
  <si>
    <t xml:space="preserve">MANUAL</t>
  </si>
  <si>
    <t xml:space="preserve">Operator measures or judges it (most draw-bench fields).</t>
  </si>
  <si>
    <t xml:space="preserve">MASTER</t>
  </si>
  <si>
    <t xml:space="preserve">One-time reference / master data (capacity, swage-end, pointing set).</t>
  </si>
  <si>
    <t xml:space="preserve">SYSTEM</t>
  </si>
  <si>
    <t xml:space="preserve">Generated by the platform (ids, rollups).</t>
  </si>
  <si>
    <t xml:space="preserve">Tabs</t>
  </si>
  <si>
    <t xml:space="preserve">Sheet Map | Field Register | ERP-WO Fields | PLC Connectivity | Bench Capability (Table-C) | Special Controls (Table-A) | Paint &amp; Swaging | Data Flow | Required Documents</t>
  </si>
  <si>
    <t xml:space="preserve">Source docs</t>
  </si>
  <si>
    <t xml:space="preserve">GLI-WI-PRD-DRW-01 R13 (drawing); GLI-WI-PRD-SWG-01 R04 (swaging); GLI-WI-QA-13 (ID); A-59 PLC survey (DB-01..07).</t>
  </si>
  <si>
    <t xml:space="preserve">Note</t>
  </si>
  <si>
    <t xml:space="preserve">GLI-FT-PRD-DRAW-07 (check sheet) and GLI-FT-PRD-DRW-02 (production/1st-off report) formats are referenced in the WI but not yet shared as separate files; fields below are read from the WI. Table-C main grid is a merged-cell scan; confirm exact splits on the hard copy.</t>
  </si>
  <si>
    <t xml:space="preserve">Field counts</t>
  </si>
  <si>
    <t xml:space="preserve">Total fields</t>
  </si>
  <si>
    <t xml:space="preserve">SHEET MAP . draw-bench + swaging sheets</t>
  </si>
  <si>
    <t xml:space="preserve">Zedral x Goodluck India (Sikandrabad) . Draw Bench + Swaging (A-51 / A-59 / A59-LDP) . Module M1 (Data Capture)</t>
  </si>
  <si>
    <t xml:space="preserve">Plant sheet</t>
  </si>
  <si>
    <t xml:space="preserve">Format / doc no.</t>
  </si>
  <si>
    <t xml:space="preserve">Rev</t>
  </si>
  <si>
    <t xml:space="preserve">In hand?</t>
  </si>
  <si>
    <t xml:space="preserve">Nature</t>
  </si>
  <si>
    <t xml:space="preserve">Digital target table(s)</t>
  </si>
  <si>
    <t xml:space="preserve">Capture summary</t>
  </si>
  <si>
    <t xml:space="preserve">1. Production + inspection report</t>
  </si>
  <si>
    <t xml:space="preserve">GLI-FT-PRD-DRW-01 Draw Bench Production Report (DB-FT-01)</t>
  </si>
  <si>
    <t xml:space="preserve">R6</t>
  </si>
  <si>
    <t xml:space="preserve">Yes (now in hand)</t>
  </si>
  <si>
    <t xml:space="preserve">Per lot / bench</t>
  </si>
  <si>
    <t xml:space="preserve">txn.prod_db_lot</t>
  </si>
  <si>
    <t xml:space="preserve">FROM/TO OD-ID-TH-LEN, inter/final, accepted/rejected/drawn meter, breakdown; dims MANUAL, count/load AUTO if bench PLC</t>
  </si>
  <si>
    <t xml:space="preserve">2. Die &amp; plug issue slip</t>
  </si>
  <si>
    <t xml:space="preserve">GLI-FT-PRD-DRW-08 (DB-FT-08)</t>
  </si>
  <si>
    <t xml:space="preserve">R3</t>
  </si>
  <si>
    <t xml:space="preserve">Per die/plug issue</t>
  </si>
  <si>
    <t xml:space="preserve">txn.db_tooling_issue</t>
  </si>
  <si>
    <t xml:space="preserve">Die/plug code, stage, size per history, actual OD at 1st off, condition; MANUAL</t>
  </si>
  <si>
    <t xml:space="preserve">3. Die history card</t>
  </si>
  <si>
    <t xml:space="preserve">GLI-FT-PRD-DRW-03 (DB-FT-03)</t>
  </si>
  <si>
    <t xml:space="preserve">R4</t>
  </si>
  <si>
    <t xml:space="preserve">Per die instance</t>
  </si>
  <si>
    <t xml:space="preserve">master.db_tooling + txn.db_tooling_usage</t>
  </si>
  <si>
    <t xml:space="preserve">OD at previous drawn size, tubes produced, input size, polishing, oversized; MANUAL</t>
  </si>
  <si>
    <t xml:space="preserve">4. Swaging production report</t>
  </si>
  <si>
    <t xml:space="preserve">GLI-FT-PRD-SWG-01 (SWG-FT-01) / SWG-FT-02</t>
  </si>
  <si>
    <t xml:space="preserve">R1 / R0</t>
  </si>
  <si>
    <t xml:space="preserve">Per lot</t>
  </si>
  <si>
    <t xml:space="preserve">txn.prod_db_swage</t>
  </si>
  <si>
    <t xml:space="preserve">Swaging die used, draw size, tag length &amp; length after die, quantity; MANUAL</t>
  </si>
  <si>
    <t xml:space="preserve">5. Machine check sheet (start of shift)</t>
  </si>
  <si>
    <t xml:space="preserve">GLI-FT-PRD-DRAW-07</t>
  </si>
  <si>
    <t xml:space="preserve">-</t>
  </si>
  <si>
    <t xml:space="preserve">Still referenced, not shared</t>
  </si>
  <si>
    <t xml:space="preserve">Per shift start</t>
  </si>
  <si>
    <t xml:space="preserve">txn.db_shift_check</t>
  </si>
  <si>
    <t xml:space="preserve">Operator checks MANUAL; only remaining format gap</t>
  </si>
  <si>
    <t xml:space="preserve">--- supporting / reference ---</t>
  </si>
  <si>
    <t xml:space="preserve">Drawing Work Instruction</t>
  </si>
  <si>
    <t xml:space="preserve">GLI-WI-PRD-DRW-01</t>
  </si>
  <si>
    <t xml:space="preserve">R13</t>
  </si>
  <si>
    <t xml:space="preserve">Yes</t>
  </si>
  <si>
    <t xml:space="preserve">Process logic + tooling mgmt</t>
  </si>
  <si>
    <t xml:space="preserve">Tables A/B/C embedded</t>
  </si>
  <si>
    <t xml:space="preserve">Swaging Work Instruction</t>
  </si>
  <si>
    <t xml:space="preserve">GLI-WI-PRD-SWG-01</t>
  </si>
  <si>
    <t xml:space="preserve">R04</t>
  </si>
  <si>
    <t xml:space="preserve">Swage-end + pointing sets</t>
  </si>
  <si>
    <t xml:space="preserve">Capacity charts A51/A59/LDP</t>
  </si>
  <si>
    <t xml:space="preserve">Identification &amp; Traceability</t>
  </si>
  <si>
    <t xml:space="preserve">GLI-WI-QA-13</t>
  </si>
  <si>
    <t xml:space="preserve">R11</t>
  </si>
  <si>
    <t xml:space="preserve">Tag + coil/lot id</t>
  </si>
  <si>
    <t xml:space="preserve">tag colour by grade/stage</t>
  </si>
  <si>
    <t xml:space="preserve">FIELD REGISTER . every field on the draw-bench + swaging sheets</t>
  </si>
  <si>
    <t xml:space="preserve">Field ID</t>
  </si>
  <si>
    <t xml:space="preserve">Sheet</t>
  </si>
  <si>
    <t xml:space="preserve">Paper field</t>
  </si>
  <si>
    <t xml:space="preserve">Canonical field (DB)</t>
  </si>
  <si>
    <t xml:space="preserve">Target schema.table</t>
  </si>
  <si>
    <t xml:space="preserve">Type</t>
  </si>
  <si>
    <t xml:space="preserve">Unit</t>
  </si>
  <si>
    <t xml:space="preserve">Class</t>
  </si>
  <si>
    <t xml:space="preserve">Source</t>
  </si>
  <si>
    <t xml:space="preserve">Req</t>
  </si>
  <si>
    <t xml:space="preserve">Validation / rule</t>
  </si>
  <si>
    <t xml:space="preserve">Notes</t>
  </si>
  <si>
    <t xml:space="preserve">DB-01</t>
  </si>
  <si>
    <t xml:space="preserve">Lot header</t>
  </si>
  <si>
    <t xml:space="preserve">Lot / run id</t>
  </si>
  <si>
    <t xml:space="preserve">lot_no</t>
  </si>
  <si>
    <t xml:space="preserve">text</t>
  </si>
  <si>
    <t xml:space="preserve">bench + ts</t>
  </si>
  <si>
    <t xml:space="preserve">Y</t>
  </si>
  <si>
    <t xml:space="preserve">unique per tenant</t>
  </si>
  <si>
    <t xml:space="preserve">DB-02</t>
  </si>
  <si>
    <t xml:space="preserve">W.O. No</t>
  </si>
  <si>
    <t xml:space="preserve">work_order_no</t>
  </si>
  <si>
    <t xml:space="preserve">work order (BC)</t>
  </si>
  <si>
    <t xml:space="preserve">from PPC</t>
  </si>
  <si>
    <t xml:space="preserve">DB-03</t>
  </si>
  <si>
    <t xml:space="preserve">Customer</t>
  </si>
  <si>
    <t xml:space="preserve">customer_code</t>
  </si>
  <si>
    <t xml:space="preserve">work order</t>
  </si>
  <si>
    <t xml:space="preserve">N</t>
  </si>
  <si>
    <t xml:space="preserve">FK master.customer</t>
  </si>
  <si>
    <t xml:space="preserve">DB-04</t>
  </si>
  <si>
    <t xml:space="preserve">Grade / source</t>
  </si>
  <si>
    <t xml:space="preserve">grade_code</t>
  </si>
  <si>
    <t xml:space="preserve">work order / tube</t>
  </si>
  <si>
    <t xml:space="preserve">FK master.grade</t>
  </si>
  <si>
    <t xml:space="preserve">paint colour per Table-B</t>
  </si>
  <si>
    <t xml:space="preserve">DB-05</t>
  </si>
  <si>
    <t xml:space="preserve">Tube size ordered (OD/ID/THK/Len)</t>
  </si>
  <si>
    <t xml:space="preserve">size (jsonb)</t>
  </si>
  <si>
    <t xml:space="preserve">json</t>
  </si>
  <si>
    <t xml:space="preserve">mm</t>
  </si>
  <si>
    <t xml:space="preserve">work order / customer drawing</t>
  </si>
  <si>
    <t xml:space="preserve">profile round/oval/rect/square</t>
  </si>
  <si>
    <t xml:space="preserve">DB-06</t>
  </si>
  <si>
    <t xml:space="preserve">Draw bench No (machine)</t>
  </si>
  <si>
    <t xml:space="preserve">bench_code</t>
  </si>
  <si>
    <t xml:space="preserve">load plan (Table-C)</t>
  </si>
  <si>
    <t xml:space="preserve">FK master.machine</t>
  </si>
  <si>
    <t xml:space="preserve">assigned by capacity</t>
  </si>
  <si>
    <t xml:space="preserve">DB-07</t>
  </si>
  <si>
    <t xml:space="preserve">Draw pass</t>
  </si>
  <si>
    <t xml:space="preserve">draw_pass</t>
  </si>
  <si>
    <t xml:space="preserve">enum</t>
  </si>
  <si>
    <t xml:space="preserve">operator</t>
  </si>
  <si>
    <t xml:space="preserve">1ST|2ND|3RD</t>
  </si>
  <si>
    <t xml:space="preserve">multi-pass cycle</t>
  </si>
  <si>
    <t xml:space="preserve">DB-08</t>
  </si>
  <si>
    <t xml:space="preserve">Incoming tube ref (from mill/STP)</t>
  </si>
  <si>
    <t xml:space="preserve">input_tube_ref</t>
  </si>
  <si>
    <t xml:space="preserve">route card / journey</t>
  </si>
  <si>
    <t xml:space="preserve">genealogy</t>
  </si>
  <si>
    <t xml:space="preserve">DB-09</t>
  </si>
  <si>
    <t xml:space="preserve">Shift / date</t>
  </si>
  <si>
    <t xml:space="preserve">shift_ref / prod_date</t>
  </si>
  <si>
    <t xml:space="preserve">shift context</t>
  </si>
  <si>
    <t xml:space="preserve">FK master.shift</t>
  </si>
  <si>
    <t xml:space="preserve">MC-01</t>
  </si>
  <si>
    <t xml:space="preserve">5 Machine check</t>
  </si>
  <si>
    <t xml:space="preserve">Machine cleanliness</t>
  </si>
  <si>
    <t xml:space="preserve">clean_ok</t>
  </si>
  <si>
    <t xml:space="preserve">bool</t>
  </si>
  <si>
    <t xml:space="preserve">MC-02</t>
  </si>
  <si>
    <t xml:space="preserve">Die &amp; plug selected/condition/fitment</t>
  </si>
  <si>
    <t xml:space="preserve">die_plug_ok</t>
  </si>
  <si>
    <t xml:space="preserve">operator (issue slip)</t>
  </si>
  <si>
    <t xml:space="preserve">verify OD &amp; condition before fix</t>
  </si>
  <si>
    <t xml:space="preserve">MC-03</t>
  </si>
  <si>
    <t xml:space="preserve">Machine lubrication ok</t>
  </si>
  <si>
    <t xml:space="preserve">lube_ok</t>
  </si>
  <si>
    <t xml:space="preserve">MC-04</t>
  </si>
  <si>
    <t xml:space="preserve">Air / hydraulic pressure sufficient</t>
  </si>
  <si>
    <t xml:space="preserve">pressure_ok</t>
  </si>
  <si>
    <t xml:space="preserve">AUTO if bench PLC pressure tag</t>
  </si>
  <si>
    <t xml:space="preserve">MC-05</t>
  </si>
  <si>
    <t xml:space="preserve">Incoming tube lubrication condition</t>
  </si>
  <si>
    <t xml:space="preserve">input_lube_ok</t>
  </si>
  <si>
    <t xml:space="preserve">thin uniform soap/oil from STP</t>
  </si>
  <si>
    <t xml:space="preserve">reject to STP if non-uniform</t>
  </si>
  <si>
    <t xml:space="preserve">MC-06</t>
  </si>
  <si>
    <t xml:space="preserve">Draw speed setting (motor rpm)</t>
  </si>
  <si>
    <t xml:space="preserve">draw_speed_set</t>
  </si>
  <si>
    <t xml:space="preserve">number</t>
  </si>
  <si>
    <t xml:space="preserve">motor rpm (fixed)</t>
  </si>
  <si>
    <t xml:space="preserve">by motor capacity</t>
  </si>
  <si>
    <t xml:space="preserve">not continuously logged</t>
  </si>
  <si>
    <t xml:space="preserve">MC-07</t>
  </si>
  <si>
    <t xml:space="preserve">Abnormal noise / vibration check</t>
  </si>
  <si>
    <t xml:space="preserve">noise_ok</t>
  </si>
  <si>
    <t xml:space="preserve">stop + inform SIC if abnormal</t>
  </si>
  <si>
    <t xml:space="preserve">PR-01</t>
  </si>
  <si>
    <t xml:space="preserve">1 Production report</t>
  </si>
  <si>
    <t xml:space="preserve">DB No (bench)</t>
  </si>
  <si>
    <t xml:space="preserve">load plan</t>
  </si>
  <si>
    <t xml:space="preserve">GLI-FT-PRD-DRW-01</t>
  </si>
  <si>
    <t xml:space="preserve">PR-02</t>
  </si>
  <si>
    <t xml:space="preserve">Operator name</t>
  </si>
  <si>
    <t xml:space="preserve">operator_ref</t>
  </si>
  <si>
    <t xml:space="preserve">PR-03</t>
  </si>
  <si>
    <t xml:space="preserve">Work order / grade / customer</t>
  </si>
  <si>
    <t xml:space="preserve">work_order_no / grade / customer</t>
  </si>
  <si>
    <t xml:space="preserve">PR-04</t>
  </si>
  <si>
    <t xml:space="preserve">Final size (OD/ID/TH/LEN)</t>
  </si>
  <si>
    <t xml:space="preserve">final_size</t>
  </si>
  <si>
    <t xml:space="preserve">PR-05</t>
  </si>
  <si>
    <t xml:space="preserve">FROM size (incoming OD/TH/LEN)</t>
  </si>
  <si>
    <t xml:space="preserve">from_size</t>
  </si>
  <si>
    <t xml:space="preserve">operator measure</t>
  </si>
  <si>
    <t xml:space="preserve">1st-off incoming</t>
  </si>
  <si>
    <t xml:space="preserve">record</t>
  </si>
  <si>
    <t xml:space="preserve">PR-06</t>
  </si>
  <si>
    <t xml:space="preserve">TO size (drawn OD/ID/TH/LEN)</t>
  </si>
  <si>
    <t xml:space="preserve">to_size</t>
  </si>
  <si>
    <t xml:space="preserve">per WO tolerance</t>
  </si>
  <si>
    <t xml:space="preserve">1st-off drawn</t>
  </si>
  <si>
    <t xml:space="preserve">PR-07</t>
  </si>
  <si>
    <t xml:space="preserve">Draw plan length</t>
  </si>
  <si>
    <t xml:space="preserve">draw_plan_len_mm</t>
  </si>
  <si>
    <t xml:space="preserve">&gt;0</t>
  </si>
  <si>
    <t xml:space="preserve">PR-08</t>
  </si>
  <si>
    <t xml:space="preserve">Inter / Final stage</t>
  </si>
  <si>
    <t xml:space="preserve">stage</t>
  </si>
  <si>
    <t xml:space="preserve">INTER|FINAL</t>
  </si>
  <si>
    <t xml:space="preserve">draw pass</t>
  </si>
  <si>
    <t xml:space="preserve">PR-09</t>
  </si>
  <si>
    <t xml:space="preserve">Accepted qty (Nos / MT)</t>
  </si>
  <si>
    <t xml:space="preserve">accepted_nos / accepted_mt</t>
  </si>
  <si>
    <t xml:space="preserve">pcs,MT</t>
  </si>
  <si>
    <t xml:space="preserve">operator count</t>
  </si>
  <si>
    <t xml:space="preserve">&gt;=0</t>
  </si>
  <si>
    <t xml:space="preserve">AUTO count if bench PLC</t>
  </si>
  <si>
    <t xml:space="preserve">PR-10</t>
  </si>
  <si>
    <t xml:space="preserve">Rejected qty (Nos)</t>
  </si>
  <si>
    <t xml:space="preserve">rejected_nos</t>
  </si>
  <si>
    <t xml:space="preserve">int</t>
  </si>
  <si>
    <t xml:space="preserve">pcs</t>
  </si>
  <si>
    <t xml:space="preserve">set-up tubes to reject bin</t>
  </si>
  <si>
    <t xml:space="preserve">PR-11</t>
  </si>
  <si>
    <t xml:space="preserve">Drawn meter</t>
  </si>
  <si>
    <t xml:space="preserve">drawn_meter</t>
  </si>
  <si>
    <t xml:space="preserve">m</t>
  </si>
  <si>
    <t xml:space="preserve">bench PLC if wired</t>
  </si>
  <si>
    <t xml:space="preserve">throughput</t>
  </si>
  <si>
    <t xml:space="preserve">PR-12</t>
  </si>
  <si>
    <t xml:space="preserve">Draw / pulling load</t>
  </si>
  <si>
    <t xml:space="preserve">pull_load</t>
  </si>
  <si>
    <t xml:space="preserve">ton</t>
  </si>
  <si>
    <t xml:space="preserve">DB-05/06/07 easiest</t>
  </si>
  <si>
    <t xml:space="preserve">PR-13</t>
  </si>
  <si>
    <t xml:space="preserve">Cycle time</t>
  </si>
  <si>
    <t xml:space="preserve">cycle_time_s</t>
  </si>
  <si>
    <t xml:space="preserve">s</t>
  </si>
  <si>
    <t xml:space="preserve">throughput / OEE</t>
  </si>
  <si>
    <t xml:space="preserve">PR-14</t>
  </si>
  <si>
    <t xml:space="preserve">Break down / remarks</t>
  </si>
  <si>
    <t xml:space="preserve">breakdown_remark</t>
  </si>
  <si>
    <t xml:space="preserve">embedded downtime note</t>
  </si>
  <si>
    <t xml:space="preserve">PR-15</t>
  </si>
  <si>
    <t xml:space="preserve">Ovality / circularity / concentricity</t>
  </si>
  <si>
    <t xml:space="preserve">form_dev</t>
  </si>
  <si>
    <t xml:space="preserve">txn.db_inspection</t>
  </si>
  <si>
    <t xml:space="preserve">operator / QA</t>
  </si>
  <si>
    <t xml:space="preserve">critical -&gt; cross-verify QA</t>
  </si>
  <si>
    <t xml:space="preserve">WI 1st-off</t>
  </si>
  <si>
    <t xml:space="preserve">PR-16</t>
  </si>
  <si>
    <t xml:space="preserve">Surface finish (visual) / Ra</t>
  </si>
  <si>
    <t xml:space="preserve">surface / ra_value</t>
  </si>
  <si>
    <t xml:space="preserve">operator / lab</t>
  </si>
  <si>
    <t xml:space="preserve">Ra: 100 mm sample to lab</t>
  </si>
  <si>
    <t xml:space="preserve">PR-17</t>
  </si>
  <si>
    <t xml:space="preserve">Re-first-off trigger</t>
  </si>
  <si>
    <t xml:space="preserve">refirstoff_flag</t>
  </si>
  <si>
    <t xml:space="preserve">&gt;2 hr same material; shift/lot/operator change</t>
  </si>
  <si>
    <t xml:space="preserve">Table-A</t>
  </si>
  <si>
    <t xml:space="preserve">PR-18</t>
  </si>
  <si>
    <t xml:space="preserve">Last-off result</t>
  </si>
  <si>
    <t xml:space="preserve">last_off_result</t>
  </si>
  <si>
    <t xml:space="preserve">fail -&gt; HOLD, NC</t>
  </si>
  <si>
    <t xml:space="preserve">keep 1st/last-off samples</t>
  </si>
  <si>
    <t xml:space="preserve">PR-19</t>
  </si>
  <si>
    <t xml:space="preserve">Tag (size/customer/grade) forward</t>
  </si>
  <si>
    <t xml:space="preserve">tag_no</t>
  </si>
  <si>
    <t xml:space="preserve">per GLI-WI-QA-13</t>
  </si>
  <si>
    <t xml:space="preserve">release to next process</t>
  </si>
  <si>
    <t xml:space="preserve">IS-01</t>
  </si>
  <si>
    <t xml:space="preserve">2 Issue slip</t>
  </si>
  <si>
    <t xml:space="preserve">Tube size to draw (OD/ID/THK)</t>
  </si>
  <si>
    <t xml:space="preserve">issue_size</t>
  </si>
  <si>
    <t xml:space="preserve">GLI-FT-PRD-DRW-08</t>
  </si>
  <si>
    <t xml:space="preserve">IS-02</t>
  </si>
  <si>
    <t xml:space="preserve">Die code</t>
  </si>
  <si>
    <t xml:space="preserve">die_code</t>
  </si>
  <si>
    <t xml:space="preserve">tool room</t>
  </si>
  <si>
    <t xml:space="preserve">FK master.db_tooling</t>
  </si>
  <si>
    <t xml:space="preserve">IS-03</t>
  </si>
  <si>
    <t xml:space="preserve">Stage for use (final/inter)</t>
  </si>
  <si>
    <t xml:space="preserve">FINAL|INTER</t>
  </si>
  <si>
    <t xml:space="preserve">IS-04</t>
  </si>
  <si>
    <t xml:space="preserve">Die size (per history card)</t>
  </si>
  <si>
    <t xml:space="preserve">die_size_mm</t>
  </si>
  <si>
    <t xml:space="preserve">history card</t>
  </si>
  <si>
    <t xml:space="preserve">IS-05</t>
  </si>
  <si>
    <t xml:space="preserve">Tube OD actual at 1st off</t>
  </si>
  <si>
    <t xml:space="preserve">actual_od_1stoff</t>
  </si>
  <si>
    <t xml:space="preserve">IS-06</t>
  </si>
  <si>
    <t xml:space="preserve">Die condition</t>
  </si>
  <si>
    <t xml:space="preserve">die_condition</t>
  </si>
  <si>
    <t xml:space="preserve">no score/scratch/crack</t>
  </si>
  <si>
    <t xml:space="preserve">IS-07</t>
  </si>
  <si>
    <t xml:space="preserve">Plug stage / size / condition</t>
  </si>
  <si>
    <t xml:space="preserve">plug_stage_size_cond</t>
  </si>
  <si>
    <t xml:space="preserve">mixed</t>
  </si>
  <si>
    <t xml:space="preserve">actual at issue</t>
  </si>
  <si>
    <t xml:space="preserve">DP-01</t>
  </si>
  <si>
    <t xml:space="preserve">3 Die history</t>
  </si>
  <si>
    <t xml:space="preserve">Die code / history card no</t>
  </si>
  <si>
    <t xml:space="preserve">master.db_tooling</t>
  </si>
  <si>
    <t xml:space="preserve">GLI-FT-PRD-DRW-03</t>
  </si>
  <si>
    <t xml:space="preserve">DP-02</t>
  </si>
  <si>
    <t xml:space="preserve">Received date / supplier / OD req</t>
  </si>
  <si>
    <t xml:space="preserve">received / supplier / od_req</t>
  </si>
  <si>
    <t xml:space="preserve">receiving inspection</t>
  </si>
  <si>
    <t xml:space="preserve">DP-03</t>
  </si>
  <si>
    <t xml:space="preserve">Date (each use)</t>
  </si>
  <si>
    <t xml:space="preserve">use_date</t>
  </si>
  <si>
    <t xml:space="preserve">txn.db_tooling_usage</t>
  </si>
  <si>
    <t xml:space="preserve">date</t>
  </si>
  <si>
    <t xml:space="preserve">DP-04</t>
  </si>
  <si>
    <t xml:space="preserve">OD observation at previous drawn tube size</t>
  </si>
  <si>
    <t xml:space="preserve">prev_draw_od</t>
  </si>
  <si>
    <t xml:space="preserve">within tube OD + tol</t>
  </si>
  <si>
    <t xml:space="preserve">bearing size</t>
  </si>
  <si>
    <t xml:space="preserve">DP-05</t>
  </si>
  <si>
    <t xml:space="preserve">No. of tubes produced</t>
  </si>
  <si>
    <t xml:space="preserve">tubes_produced</t>
  </si>
  <si>
    <t xml:space="preserve">counter if wired else MANUAL</t>
  </si>
  <si>
    <t xml:space="preserve">tooling life</t>
  </si>
  <si>
    <t xml:space="preserve">DP-06</t>
  </si>
  <si>
    <t xml:space="preserve">Input tube size</t>
  </si>
  <si>
    <t xml:space="preserve">input_size_mm</t>
  </si>
  <si>
    <t xml:space="preserve">lot / route</t>
  </si>
  <si>
    <t xml:space="preserve">DP-07</t>
  </si>
  <si>
    <t xml:space="preserve">Die polishing</t>
  </si>
  <si>
    <t xml:space="preserve">die_polish</t>
  </si>
  <si>
    <t xml:space="preserve">220 grit + D3 diamond</t>
  </si>
  <si>
    <t xml:space="preserve">DP-08</t>
  </si>
  <si>
    <t xml:space="preserve">Die oversized / disposition</t>
  </si>
  <si>
    <t xml:space="preserve">oversized / disposition</t>
  </si>
  <si>
    <t xml:space="preserve">reject to supplier if oversized</t>
  </si>
  <si>
    <t xml:space="preserve">SW-01</t>
  </si>
  <si>
    <t xml:space="preserve">4 Swaging</t>
  </si>
  <si>
    <t xml:space="preserve">M/C No (HYD / PUSH / rotary)</t>
  </si>
  <si>
    <t xml:space="preserve">swg_machine</t>
  </si>
  <si>
    <t xml:space="preserve">HYD-1/2, PUSH-1/2</t>
  </si>
  <si>
    <t xml:space="preserve">GLI-FT-PRD-SWG-01/02</t>
  </si>
  <si>
    <t xml:space="preserve">SW-02</t>
  </si>
  <si>
    <t xml:space="preserve">Work order / customer / grade</t>
  </si>
  <si>
    <t xml:space="preserve">work_order_no / customer / grade</t>
  </si>
  <si>
    <t xml:space="preserve">SW-03</t>
  </si>
  <si>
    <t xml:space="preserve">Size (OD/ID/THK/LEN)</t>
  </si>
  <si>
    <t xml:space="preserve">size</t>
  </si>
  <si>
    <t xml:space="preserve">SW-04</t>
  </si>
  <si>
    <t xml:space="preserve">Swaging die used</t>
  </si>
  <si>
    <t xml:space="preserve">swg_die</t>
  </si>
  <si>
    <t xml:space="preserve">push-pointer/hydraulic(2pc)/rotary(4pc)</t>
  </si>
  <si>
    <t xml:space="preserve">crack -&gt; reject full set</t>
  </si>
  <si>
    <t xml:space="preserve">SW-05</t>
  </si>
  <si>
    <t xml:space="preserve">Draw size (next)</t>
  </si>
  <si>
    <t xml:space="preserve">draw_size</t>
  </si>
  <si>
    <t xml:space="preserve">draw plan</t>
  </si>
  <si>
    <t xml:space="preserve">size to be drawn next</t>
  </si>
  <si>
    <t xml:space="preserve">SW-06</t>
  </si>
  <si>
    <t xml:space="preserve">Total tag length &amp; length after die</t>
  </si>
  <si>
    <t xml:space="preserve">tag_len / len_after_die</t>
  </si>
  <si>
    <t xml:space="preserve">operator (scale)</t>
  </si>
  <si>
    <t xml:space="preserve">min swage-end by tonnage</t>
  </si>
  <si>
    <t xml:space="preserve">10/20T=80+/-10; 40/80T=100+/-10; 120T=120+/-10; LDP 190-225</t>
  </si>
  <si>
    <t xml:space="preserve">SW-07</t>
  </si>
  <si>
    <t xml:space="preserve">Quantity</t>
  </si>
  <si>
    <t xml:space="preserve">pieces</t>
  </si>
  <si>
    <t xml:space="preserve">SW-08</t>
  </si>
  <si>
    <t xml:space="preserve">Tag re-applied to swaged lot</t>
  </si>
  <si>
    <t xml:space="preserve">carry lot identity</t>
  </si>
  <si>
    <t xml:space="preserve">WHAT COMES FROM ERP / WORK ORDER . Dynamics 365 Business Central</t>
  </si>
  <si>
    <t xml:space="preserve">ERP / WO field</t>
  </si>
  <si>
    <t xml:space="preserve">Canonical field</t>
  </si>
  <si>
    <t xml:space="preserve">Target table</t>
  </si>
  <si>
    <t xml:space="preserve">Read now (plan)</t>
  </si>
  <si>
    <t xml:space="preserve">Write back (later)</t>
  </si>
  <si>
    <t xml:space="preserve">Work order number</t>
  </si>
  <si>
    <t xml:space="preserve">from PPC to draw</t>
  </si>
  <si>
    <t xml:space="preserve">drives paint colour (Table-B)</t>
  </si>
  <si>
    <t xml:space="preserve">Tube size ordered (OD/ID/THK/Length)</t>
  </si>
  <si>
    <t xml:space="preserve">or customer drawing</t>
  </si>
  <si>
    <t xml:space="preserve">Profile / special dims (oval/rect/square, CC)</t>
  </si>
  <si>
    <t xml:space="preserve">spec_ref</t>
  </si>
  <si>
    <t xml:space="preserve">customer drawing / control plan</t>
  </si>
  <si>
    <t xml:space="preserve">Draw plan (number-wise per bench capacity)</t>
  </si>
  <si>
    <t xml:space="preserve">bench_code / draw_pass</t>
  </si>
  <si>
    <t xml:space="preserve">distribute load per Table-C</t>
  </si>
  <si>
    <t xml:space="preserve">Incoming tube ref (from mill / STP)</t>
  </si>
  <si>
    <t xml:space="preserve">route card genealogy</t>
  </si>
  <si>
    <t xml:space="preserve">Die / plug issue (tool room)</t>
  </si>
  <si>
    <t xml:space="preserve">die_id / plug_id</t>
  </si>
  <si>
    <t xml:space="preserve">issue slip</t>
  </si>
  <si>
    <t xml:space="preserve">Route / next operation</t>
  </si>
  <si>
    <t xml:space="preserve">route_ref</t>
  </si>
  <si>
    <t xml:space="preserve">(genealogy)</t>
  </si>
  <si>
    <t xml:space="preserve">straightening, cutting, honing</t>
  </si>
  <si>
    <t xml:space="preserve">Produced / drawn quantity (actuals)</t>
  </si>
  <si>
    <t xml:space="preserve">write-back phase</t>
  </si>
  <si>
    <t xml:space="preserve">Disposition (OK / HOLD / reject)</t>
  </si>
  <si>
    <t xml:space="preserve">disposition</t>
  </si>
  <si>
    <t xml:space="preserve">Dispatch / lot tags</t>
  </si>
  <si>
    <t xml:space="preserve">packing/dispatch phase</t>
  </si>
  <si>
    <t xml:space="preserve">PLC CONNECTIVITY . draw benches DB-01..07 (read-only). Ethernet-native benches first</t>
  </si>
  <si>
    <t xml:space="preserve">Bench</t>
  </si>
  <si>
    <t xml:space="preserve">Controller / PLC</t>
  </si>
  <si>
    <t xml:space="preserve">Model</t>
  </si>
  <si>
    <t xml:space="preserve">Comms (as installed)</t>
  </si>
  <si>
    <t xml:space="preserve">Read protocol / driver</t>
  </si>
  <si>
    <t xml:space="preserve">Ease</t>
  </si>
  <si>
    <t xml:space="preserve">Connect status</t>
  </si>
  <si>
    <t xml:space="preserve">What it yields (no quality data)</t>
  </si>
  <si>
    <t xml:space="preserve">Fatek (FBs series)</t>
  </si>
  <si>
    <t xml:space="preserve">(confirm)</t>
  </si>
  <si>
    <t xml:space="preserve">Serial RS-232/485 (Ethernet if module)</t>
  </si>
  <si>
    <t xml:space="preserve">Modbus RTU/TCP (WinProladder to map)</t>
  </si>
  <si>
    <t xml:space="preserve">Medium</t>
  </si>
  <si>
    <t xml:space="preserve">Not connected</t>
  </si>
  <si>
    <t xml:space="preserve">pull load, cycle time, counts</t>
  </si>
  <si>
    <t xml:space="preserve">Siemens S7-200CN</t>
  </si>
  <si>
    <t xml:space="preserve">PPI / RS-485 serial (legacy)</t>
  </si>
  <si>
    <t xml:space="preserve">PPI / Modbus RTU / CP243-1 (Micro/WIN v4)</t>
  </si>
  <si>
    <t xml:space="preserve">Hard</t>
  </si>
  <si>
    <t xml:space="preserve">Flagged connectable</t>
  </si>
  <si>
    <t xml:space="preserve">counts, cycle, load</t>
  </si>
  <si>
    <t xml:space="preserve">PPI / RS-485 serial</t>
  </si>
  <si>
    <t xml:space="preserve">PPI / Modbus RTU / CP243-1</t>
  </si>
  <si>
    <t xml:space="preserve">Siemens S7-200 SMART</t>
  </si>
  <si>
    <t xml:space="preserve">CPU ST40 (6ES7 288-1ST40)</t>
  </si>
  <si>
    <t xml:space="preserve">Built-in Ethernet</t>
  </si>
  <si>
    <t xml:space="preserve">Snap7 / Modbus TCP (Micro/WIN SMART)</t>
  </si>
  <si>
    <t xml:space="preserve">Easy</t>
  </si>
  <si>
    <t xml:space="preserve">counts, cycle, load, motor rpm</t>
  </si>
  <si>
    <t xml:space="preserve">Siemens ET200S (IM151) + KTP700 Basic</t>
  </si>
  <si>
    <t xml:space="preserve">6AV2 123-2GB03 (HMI)</t>
  </si>
  <si>
    <t xml:space="preserve">Ethernet</t>
  </si>
  <si>
    <t xml:space="preserve">S7comm on CPU via Snap7 (read CPU, not panel)</t>
  </si>
  <si>
    <t xml:space="preserve">Siemens S7-200 SMART + Exor eSMART07M</t>
  </si>
  <si>
    <t xml:space="preserve">EM DT08 6ES7 288-2DT08</t>
  </si>
  <si>
    <t xml:space="preserve">Snap7 / Modbus TCP or OPC UA via Exor</t>
  </si>
  <si>
    <t xml:space="preserve">--- guidance ---</t>
  </si>
  <si>
    <t xml:space="preserve">Connect first: DB-05, DB-07, DB-06 (Ethernet-native). Plan a PPI/Ethernet gateway for DB-02/03/04. Confirm DB-01 Fatek serial vs Ethernet.</t>
  </si>
  <si>
    <t xml:space="preserve">--- key point ---</t>
  </si>
  <si>
    <t xml:space="preserve">Draw-bench PLCs give production count, cycle time, pulling load and motor rpm only. Dimensional quality (OD/ID/THK/surface) is ALWAYS manual measurement. Draw bench is L1 first; PLC augments throughput/OEE.</t>
  </si>
  <si>
    <t xml:space="preserve">TABLE-C . draw bench capability by OD &amp; thickness (GLI-WI-PRD-DRW-01 R13)</t>
  </si>
  <si>
    <t xml:space="preserve">Draw bench</t>
  </si>
  <si>
    <t xml:space="preserve">Pulling load (TON)</t>
  </si>
  <si>
    <t xml:space="preserve">Mother hollow OD (mm)</t>
  </si>
  <si>
    <t xml:space="preserve">Mother hollow THK (mm)</t>
  </si>
  <si>
    <t xml:space="preserve">Finished OD (mm)</t>
  </si>
  <si>
    <t xml:space="preserve">Finished THK (mm)</t>
  </si>
  <si>
    <t xml:space="preserve">DB-10 TON</t>
  </si>
  <si>
    <t xml:space="preserve">10</t>
  </si>
  <si>
    <t xml:space="preserve">11 to 38.10</t>
  </si>
  <si>
    <t xml:space="preserve">0.89 to 2.50</t>
  </si>
  <si>
    <t xml:space="preserve">6.50 to 25.40</t>
  </si>
  <si>
    <t xml:space="preserve">0.70 to 2.00</t>
  </si>
  <si>
    <t xml:space="preserve">DB-20 TON</t>
  </si>
  <si>
    <t xml:space="preserve">20</t>
  </si>
  <si>
    <t xml:space="preserve">22.23 to 44.45</t>
  </si>
  <si>
    <t xml:space="preserve">1.4 to 5.80</t>
  </si>
  <si>
    <t xml:space="preserve">12.7 to 60.30</t>
  </si>
  <si>
    <t xml:space="preserve">0.80 to 5.00</t>
  </si>
  <si>
    <t xml:space="preserve">DB-40 TON</t>
  </si>
  <si>
    <t xml:space="preserve">40</t>
  </si>
  <si>
    <t xml:space="preserve">28.58 to 88.9</t>
  </si>
  <si>
    <t xml:space="preserve">2.00 to 6.40</t>
  </si>
  <si>
    <t xml:space="preserve">38.10 to 76.20</t>
  </si>
  <si>
    <t xml:space="preserve">1.00 to 6.40</t>
  </si>
  <si>
    <t xml:space="preserve">DB-45 TON (3 tube)</t>
  </si>
  <si>
    <t xml:space="preserve">45</t>
  </si>
  <si>
    <t xml:space="preserve">25.40 to 50.80</t>
  </si>
  <si>
    <t xml:space="preserve">2.00 to 3.00</t>
  </si>
  <si>
    <t xml:space="preserve">confirm (scan)</t>
  </si>
  <si>
    <t xml:space="preserve">2.00 to 3.60</t>
  </si>
  <si>
    <t xml:space="preserve">DB-80 TON</t>
  </si>
  <si>
    <t xml:space="preserve">80</t>
  </si>
  <si>
    <t xml:space="preserve">38.1 to 127</t>
  </si>
  <si>
    <t xml:space="preserve">2.00 to 7.5</t>
  </si>
  <si>
    <t xml:space="preserve">50.80 to 114.30</t>
  </si>
  <si>
    <t xml:space="preserve">DB-120 TON</t>
  </si>
  <si>
    <t xml:space="preserve">120</t>
  </si>
  <si>
    <t xml:space="preserve">63.50 to 114.30</t>
  </si>
  <si>
    <t xml:space="preserve">7.50 to 9.50</t>
  </si>
  <si>
    <t xml:space="preserve">7.00 to 9.00</t>
  </si>
  <si>
    <t xml:space="preserve">DB-180 TON (LDP)</t>
  </si>
  <si>
    <t xml:space="preserve">180</t>
  </si>
  <si>
    <t xml:space="preserve">88.9 to 168.3</t>
  </si>
  <si>
    <t xml:space="preserve">4 to 13</t>
  </si>
  <si>
    <t xml:space="preserve">63.5 to 140</t>
  </si>
  <si>
    <t xml:space="preserve">3 to 12.7</t>
  </si>
  <si>
    <t xml:space="preserve">DB-250 TON (LDP)</t>
  </si>
  <si>
    <t xml:space="preserve">250</t>
  </si>
  <si>
    <t xml:space="preserve">88.9 to 219.1</t>
  </si>
  <si>
    <t xml:space="preserve">4 to 15</t>
  </si>
  <si>
    <t xml:space="preserve">63.5 to 212.0</t>
  </si>
  <si>
    <t xml:space="preserve">3 to 14</t>
  </si>
  <si>
    <t xml:space="preserve">--- note ---</t>
  </si>
  <si>
    <t xml:space="preserve">The six-bench main grid is a merged-cell controlled copy; the MH-versus-finished split for DB-45/80/120 should be confirmed against the hard copy. DB-10/20/40 and both LDP benches are clean. Plan tube size number-wise per this capacity.</t>
  </si>
  <si>
    <t xml:space="preserve">TABLE-A . special-control sampling frequency (GLI-WI-PRD-DRW-01 R13)</t>
  </si>
  <si>
    <t xml:space="preserve">Control type</t>
  </si>
  <si>
    <t xml:space="preserve">New size / 1st production (critical dim)</t>
  </si>
  <si>
    <t xml:space="preserve">4M / engineering change lot (major)</t>
  </si>
  <si>
    <t xml:space="preserve">First 3 supply / customer concern</t>
  </si>
  <si>
    <t xml:space="preserve">Mass production</t>
  </si>
  <si>
    <t xml:space="preserve">Shift change / power failure</t>
  </si>
  <si>
    <t xml:space="preserve">First-off inspection (draw bench, straightening, cutting &amp; chamfering): OD/ID/THK/LEN + visual surface</t>
  </si>
  <si>
    <t xml:space="preserve">3 sample/lot/size (two first-off at start &amp; middle, one last-off)</t>
  </si>
  <si>
    <t xml:space="preserve">1 sample/lot/size (first off)</t>
  </si>
  <si>
    <t xml:space="preserve">2 sample/lot/size (first off &amp; last off)</t>
  </si>
  <si>
    <t xml:space="preserve">1 sample/lot/size (first off at shift change &amp; after power failure or any restart)</t>
  </si>
  <si>
    <t xml:space="preserve">Mechanical properties (critical requirements)</t>
  </si>
  <si>
    <t xml:space="preserve">1 sample (first off)</t>
  </si>
  <si>
    <t xml:space="preserve">X</t>
  </si>
  <si>
    <t xml:space="preserve">2 sample (first off &amp; last off)</t>
  </si>
  <si>
    <t xml:space="preserve">Roughness testing</t>
  </si>
  <si>
    <t xml:space="preserve">Deformation at defined load &amp; other CSR</t>
  </si>
  <si>
    <t xml:space="preserve">Special / critical characteristics (CC item)</t>
  </si>
  <si>
    <t xml:space="preserve">TABLE-B PAINT COLOUR + SWAGING capacity / swage-end</t>
  </si>
  <si>
    <t xml:space="preserve">Group</t>
  </si>
  <si>
    <t xml:space="preserve">Item</t>
  </si>
  <si>
    <t xml:space="preserve">Value / rule</t>
  </si>
  <si>
    <t xml:space="preserve">Paint colour (Table-B)</t>
  </si>
  <si>
    <t xml:space="preserve">1008 / 1010</t>
  </si>
  <si>
    <t xml:space="preserve">White</t>
  </si>
  <si>
    <t xml:space="preserve">1020</t>
  </si>
  <si>
    <t xml:space="preserve">Yellow</t>
  </si>
  <si>
    <t xml:space="preserve">1026</t>
  </si>
  <si>
    <t xml:space="preserve">Smoke grey</t>
  </si>
  <si>
    <t xml:space="preserve">St 52</t>
  </si>
  <si>
    <t xml:space="preserve">Pink</t>
  </si>
  <si>
    <t xml:space="preserve">BSK 46</t>
  </si>
  <si>
    <t xml:space="preserve">Brown</t>
  </si>
  <si>
    <t xml:space="preserve">CORTON</t>
  </si>
  <si>
    <t xml:space="preserve">Blue</t>
  </si>
  <si>
    <t xml:space="preserve">SAE-1541</t>
  </si>
  <si>
    <t xml:space="preserve">Light blue + white</t>
  </si>
  <si>
    <t xml:space="preserve">SPL-K3</t>
  </si>
  <si>
    <t xml:space="preserve">Orange</t>
  </si>
  <si>
    <t xml:space="preserve">GRADE-50</t>
  </si>
  <si>
    <t xml:space="preserve">Light pink + white</t>
  </si>
  <si>
    <t xml:space="preserve">OPEN + JOINT tube</t>
  </si>
  <si>
    <t xml:space="preserve">Red</t>
  </si>
  <si>
    <t xml:space="preserve">Any rejected tubes</t>
  </si>
  <si>
    <t xml:space="preserve">Application</t>
  </si>
  <si>
    <t xml:space="preserve">Side wraps of coil + one side of tube OD; tags per GLI-WI-QA-13</t>
  </si>
  <si>
    <t xml:space="preserve">--- Swaging ---</t>
  </si>
  <si>
    <t xml:space="preserve">(GLI-WI-PRD-SWG-01 R04)</t>
  </si>
  <si>
    <t xml:space="preserve">Min swage-end length</t>
  </si>
  <si>
    <t xml:space="preserve">DB-10T &amp; DB-20T</t>
  </si>
  <si>
    <t xml:space="preserve">80 +/- 10 mm</t>
  </si>
  <si>
    <t xml:space="preserve">DB-40T &amp; DB-80T</t>
  </si>
  <si>
    <t xml:space="preserve">100 +/- 10 mm</t>
  </si>
  <si>
    <t xml:space="preserve">DB-120T</t>
  </si>
  <si>
    <t xml:space="preserve">120 +/- 10 mm</t>
  </si>
  <si>
    <t xml:space="preserve">DB-180T &amp; DB-250T (LDP)</t>
  </si>
  <si>
    <t xml:space="preserve">190 to 225 mm</t>
  </si>
  <si>
    <t xml:space="preserve">Swaging rule</t>
  </si>
  <si>
    <t xml:space="preserve">Measure &amp; record</t>
  </si>
  <si>
    <t xml:space="preserve">Measure swage length by scale on 1st tube; if excess/less reset; write swage-end length in production report</t>
  </si>
  <si>
    <t xml:space="preserve">Die types</t>
  </si>
  <si>
    <t xml:space="preserve">Push-pointer / Hydraulic (2-piece) / Rotary (4-piece)</t>
  </si>
  <si>
    <t xml:space="preserve">Crack in any piece -&gt; reject full die set; ear plugs required</t>
  </si>
  <si>
    <t xml:space="preserve">Pointing set (LDP, 1st/2nd/3rd push mm)</t>
  </si>
  <si>
    <t xml:space="preserve">63.5</t>
  </si>
  <si>
    <t xml:space="preserve">54 / 49 / 45</t>
  </si>
  <si>
    <t xml:space="preserve">Pointing set (LDP)</t>
  </si>
  <si>
    <t xml:space="preserve">101.6</t>
  </si>
  <si>
    <t xml:space="preserve">86 / 78 / 72</t>
  </si>
  <si>
    <t xml:space="preserve">114.3</t>
  </si>
  <si>
    <t xml:space="preserve">103 / 96 / 90</t>
  </si>
  <si>
    <t xml:space="preserve">127</t>
  </si>
  <si>
    <t xml:space="preserve">118 / 112 / 109</t>
  </si>
  <si>
    <t xml:space="preserve">139.7</t>
  </si>
  <si>
    <t xml:space="preserve">130 / 123 / 120</t>
  </si>
  <si>
    <t xml:space="preserve">Pointing set note</t>
  </si>
  <si>
    <t xml:space="preserve">Full A51 / A59 / A59-LDP charts</t>
  </si>
  <si>
    <t xml:space="preserve">In swaging WI; several sizes; confirm remaining rows on controlled copy (scan)</t>
  </si>
  <si>
    <t xml:space="preserve">END-TO-END DATA FLOW . draw bench + swaging</t>
  </si>
  <si>
    <t xml:space="preserve">Step</t>
  </si>
  <si>
    <t xml:space="preserve">To</t>
  </si>
  <si>
    <t xml:space="preserve">What moves</t>
  </si>
  <si>
    <t xml:space="preserve">1 Plan</t>
  </si>
  <si>
    <t xml:space="preserve">Dynamics 365 BC (ERP)</t>
  </si>
  <si>
    <t xml:space="preserve">Draw plan</t>
  </si>
  <si>
    <t xml:space="preserve">WO, customer, grade, tube size / drawing; distribute load per Table-C capacity</t>
  </si>
  <si>
    <t xml:space="preserve">2 Setup</t>
  </si>
  <si>
    <t xml:space="preserve">Tool room + STP</t>
  </si>
  <si>
    <t xml:space="preserve">die &amp; plug issue slip (verify OD &amp; condition); confirm incoming tube lubrication from STP</t>
  </si>
  <si>
    <t xml:space="preserve">3 Draw</t>
  </si>
  <si>
    <t xml:space="preserve">Draw bench (motor rpm fixed)</t>
  </si>
  <si>
    <t xml:space="preserve">Operator</t>
  </si>
  <si>
    <t xml:space="preserve">operator measures 1st-off OD/ID/THK/surface, records Min/Max; sets to reject bin if not OK</t>
  </si>
  <si>
    <t xml:space="preserve">4 Machine (optional)</t>
  </si>
  <si>
    <t xml:space="preserve">Bench PLC (DB-05/06/07 Ethernet)</t>
  </si>
  <si>
    <t xml:space="preserve">Collector -&gt; Server</t>
  </si>
  <si>
    <t xml:space="preserve">piece count, cycle time, pulling load, motor rpm (throughput / OEE only)</t>
  </si>
  <si>
    <t xml:space="preserve">5 Confirm / measure</t>
  </si>
  <si>
    <t xml:space="preserve">Server (live API)</t>
  </si>
  <si>
    <t xml:space="preserve">Tablet</t>
  </si>
  <si>
    <t xml:space="preserve">1st-off / last-off dims, die-plug history, swage-end length, HOLD / NC, special controls (Table-A)</t>
  </si>
  <si>
    <t xml:space="preserve">6 Assemble</t>
  </si>
  <si>
    <t xml:space="preserve">Server rollups</t>
  </si>
  <si>
    <t xml:space="preserve">The sheets (views)</t>
  </si>
  <si>
    <t xml:space="preserve">machine check, production + inspection, die &amp; plug history, swaging report assemble themselves</t>
  </si>
  <si>
    <t xml:space="preserve">7 Traceability / write-back</t>
  </si>
  <si>
    <t xml:space="preserve">Server</t>
  </si>
  <si>
    <t xml:space="preserve">Next process + ERP</t>
  </si>
  <si>
    <t xml:space="preserve">tag lot (size/customer/grade) forward; drawn qty + disposition write-back later</t>
  </si>
  <si>
    <t xml:space="preserve">Contrast</t>
  </si>
  <si>
    <t xml:space="preserve">Draw bench is L1 (operator-recorded) first; PLC augments with counts/cycle/load only; quality stays manual. Multi-pass: same tube cycles Furnace -&gt; STP -&gt; Swage -&gt; Draw -&gt; Centreless per pass.</t>
  </si>
  <si>
    <t xml:space="preserve">REQUIRED DOCUMENTS &amp; OPEN GAPS</t>
  </si>
  <si>
    <t xml:space="preserve">Ref</t>
  </si>
  <si>
    <t xml:space="preserve">Document / item needed</t>
  </si>
  <si>
    <t xml:space="preserve">Why it matters</t>
  </si>
  <si>
    <t xml:space="preserve">Status / owner</t>
  </si>
  <si>
    <t xml:space="preserve">D-1</t>
  </si>
  <si>
    <t xml:space="preserve">GLI-FT-PRD-DRW-01 Production Report (DB-FT-01)</t>
  </si>
  <si>
    <t xml:space="preserve">Sheet 1 (FROM/TO dims, accepted/rejected)</t>
  </si>
  <si>
    <t xml:space="preserve">RESOLVED - received (R6)</t>
  </si>
  <si>
    <t xml:space="preserve">D-2</t>
  </si>
  <si>
    <t xml:space="preserve">GLI-FT-PRD-DRW-08 Die &amp; Plug Issue Slip</t>
  </si>
  <si>
    <t xml:space="preserve">Die/plug issue + 1st-off OD</t>
  </si>
  <si>
    <t xml:space="preserve">RESOLVED - received (R3)</t>
  </si>
  <si>
    <t xml:space="preserve">D-3</t>
  </si>
  <si>
    <t xml:space="preserve">GLI-FT-PRD-DRW-03 Die History Card</t>
  </si>
  <si>
    <t xml:space="preserve">Tooling life</t>
  </si>
  <si>
    <t xml:space="preserve">RESOLVED - received (R4)</t>
  </si>
  <si>
    <t xml:space="preserve">D-4</t>
  </si>
  <si>
    <t xml:space="preserve">GLI-FT-PRD-SWG-01 / SWG-FT-02 Swaging reports</t>
  </si>
  <si>
    <t xml:space="preserve">Swage-end + tag length</t>
  </si>
  <si>
    <t xml:space="preserve">RESOLVED - received (R1/R0)</t>
  </si>
  <si>
    <t xml:space="preserve">D-4b</t>
  </si>
  <si>
    <t xml:space="preserve">GLI-FT-PRD-DRAW-07 machine check sheet</t>
  </si>
  <si>
    <t xml:space="preserve">Start-of-shift checks (only remaining format gap)</t>
  </si>
  <si>
    <t xml:space="preserve">Pending - Goodluck</t>
  </si>
  <si>
    <t xml:space="preserve">D-5</t>
  </si>
  <si>
    <t xml:space="preserve">Table-C exact MH vs finished split (DB-45/80/120)</t>
  </si>
  <si>
    <t xml:space="preserve">Capacity assignment accuracy</t>
  </si>
  <si>
    <t xml:space="preserve">Confirm hard copy</t>
  </si>
  <si>
    <t xml:space="preserve">D-6</t>
  </si>
  <si>
    <t xml:space="preserve">DB PLC tag / register maps (DB-05/06/07 first)</t>
  </si>
  <si>
    <t xml:space="preserve">Decides which counts/load/cycle are AUTO</t>
  </si>
  <si>
    <t xml:space="preserve">Pending - tag survey</t>
  </si>
  <si>
    <t xml:space="preserve">D-7</t>
  </si>
  <si>
    <t xml:space="preserve">Customer drawings / critical dimension specs</t>
  </si>
  <si>
    <t xml:space="preserve">Ovality, circularity, concentricity, Ra, CC items</t>
  </si>
  <si>
    <t xml:space="preserve">Pending - Goodluck QA</t>
  </si>
  <si>
    <t xml:space="preserve">D-8</t>
  </si>
  <si>
    <t xml:space="preserve">ID mandrel / plug gauge list per critical size</t>
  </si>
  <si>
    <t xml:space="preserve">ID acceptance for critical tubes</t>
  </si>
  <si>
    <t xml:space="preserve">D-9</t>
  </si>
  <si>
    <t xml:space="preserve">Straightening + cutting/chamfering/honing WIs</t>
  </si>
  <si>
    <t xml:space="preserve">Downstream stages referenced in Table-A</t>
  </si>
  <si>
    <t xml:space="preserve">D-10</t>
  </si>
  <si>
    <t xml:space="preserve">Route card + tag colour scheme (GLI-WI-QA-13)</t>
  </si>
  <si>
    <t xml:space="preserve">Release to next operation + genealogy</t>
  </si>
  <si>
    <t xml:space="preserve">Partial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</si>
</sst>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333333"/>
      <name val="Arial"/>
      <family val="0"/>
      <charset val="1"/>
    </font>
    <font>
      <b val="true"/>
      <sz val="10"/>
      <color rgb="FF14532D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1"/>
      <color rgb="FF14532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3D20"/>
        <bgColor rgb="FF14532D"/>
      </patternFill>
    </fill>
    <fill>
      <patternFill patternType="solid">
        <fgColor rgb="FFD9E7DC"/>
        <bgColor rgb="FFD6EAD6"/>
      </patternFill>
    </fill>
    <fill>
      <patternFill patternType="solid">
        <fgColor rgb="FFD6EAD6"/>
        <bgColor rgb="FFD9E7DC"/>
      </patternFill>
    </fill>
    <fill>
      <patternFill patternType="solid">
        <fgColor rgb="FFD6E3F0"/>
        <bgColor rgb="FFD9E7DC"/>
      </patternFill>
    </fill>
    <fill>
      <patternFill patternType="solid">
        <fgColor rgb="FFFCE7C9"/>
        <bgColor rgb="FFE4E4E7"/>
      </patternFill>
    </fill>
    <fill>
      <patternFill patternType="solid">
        <fgColor rgb="FFE4E4E7"/>
        <bgColor rgb="FFD9E7DC"/>
      </patternFill>
    </fill>
    <fill>
      <patternFill patternType="solid">
        <fgColor rgb="FFEADCF2"/>
        <bgColor rgb="FFE4E4E7"/>
      </patternFill>
    </fill>
    <fill>
      <patternFill patternType="solid">
        <fgColor rgb="FF14532D"/>
        <bgColor rgb="FF0F3D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7C9"/>
      <rgbColor rgb="FFD9E7DC"/>
      <rgbColor rgb="FF660066"/>
      <rgbColor rgb="FFFF8080"/>
      <rgbColor rgb="FF0066CC"/>
      <rgbColor rgb="FFD6E3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7"/>
      <rgbColor rgb="FFD6EAD6"/>
      <rgbColor rgb="FFFFFF99"/>
      <rgbColor rgb="FF99CCFF"/>
      <rgbColor rgb="FFFF99CC"/>
      <rgbColor rgb="FFCC99FF"/>
      <rgbColor rgb="FFEADCF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4532D"/>
      <rgbColor rgb="FF339966"/>
      <rgbColor rgb="FF0F3D20"/>
      <rgbColor rgb="FF1A1A1A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30" hidden="false" customHeight="tru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35.05" hidden="false" customHeight="false" outlineLevel="0" collapsed="false">
      <c r="A5" s="3" t="s">
        <v>4</v>
      </c>
      <c r="B5" s="4" t="s">
        <v>5</v>
      </c>
    </row>
    <row r="6" customFormat="false" ht="23.85" hidden="false" customHeight="false" outlineLevel="0" collapsed="false">
      <c r="A6" s="3" t="s">
        <v>6</v>
      </c>
      <c r="B6" s="4" t="s">
        <v>7</v>
      </c>
    </row>
    <row r="7" customFormat="false" ht="23.85" hidden="false" customHeight="false" outlineLevel="0" collapsed="false">
      <c r="A7" s="3" t="s">
        <v>8</v>
      </c>
      <c r="B7" s="4" t="s">
        <v>9</v>
      </c>
    </row>
    <row r="8" customFormat="false" ht="23.85" hidden="false" customHeight="false" outlineLevel="0" collapsed="false">
      <c r="A8" s="3" t="s">
        <v>10</v>
      </c>
      <c r="B8" s="4" t="s">
        <v>11</v>
      </c>
    </row>
    <row r="9" customFormat="false" ht="35.0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5"/>
      <c r="B10" s="4"/>
    </row>
    <row r="11" customFormat="false" ht="15" hidden="false" customHeight="false" outlineLevel="0" collapsed="false">
      <c r="A11" s="6" t="s">
        <v>14</v>
      </c>
      <c r="B11" s="4"/>
    </row>
    <row r="12" customFormat="false" ht="15" hidden="false" customHeight="false" outlineLevel="0" collapsed="false">
      <c r="A12" s="7" t="s">
        <v>15</v>
      </c>
      <c r="B12" s="4" t="s">
        <v>16</v>
      </c>
    </row>
    <row r="13" customFormat="false" ht="15" hidden="false" customHeight="false" outlineLevel="0" collapsed="false">
      <c r="A13" s="8" t="s">
        <v>17</v>
      </c>
      <c r="B13" s="4" t="s">
        <v>18</v>
      </c>
    </row>
    <row r="14" customFormat="false" ht="15" hidden="false" customHeight="false" outlineLevel="0" collapsed="false">
      <c r="A14" s="9" t="s">
        <v>19</v>
      </c>
      <c r="B14" s="4" t="s">
        <v>20</v>
      </c>
    </row>
    <row r="15" customFormat="false" ht="15" hidden="false" customHeight="false" outlineLevel="0" collapsed="false">
      <c r="A15" s="10" t="s">
        <v>21</v>
      </c>
      <c r="B15" s="4" t="s">
        <v>22</v>
      </c>
    </row>
    <row r="16" customFormat="false" ht="15" hidden="false" customHeight="false" outlineLevel="0" collapsed="false">
      <c r="A16" s="11" t="s">
        <v>23</v>
      </c>
      <c r="B16" s="4" t="s">
        <v>24</v>
      </c>
    </row>
    <row r="17" customFormat="false" ht="15" hidden="false" customHeight="false" outlineLevel="0" collapsed="false">
      <c r="A17" s="5"/>
      <c r="B17" s="4"/>
    </row>
    <row r="18" customFormat="false" ht="23.85" hidden="false" customHeight="false" outlineLevel="0" collapsed="false">
      <c r="A18" s="3" t="s">
        <v>25</v>
      </c>
      <c r="B18" s="4" t="s">
        <v>26</v>
      </c>
    </row>
    <row r="19" customFormat="false" ht="23.85" hidden="false" customHeight="false" outlineLevel="0" collapsed="false">
      <c r="A19" s="3" t="s">
        <v>27</v>
      </c>
      <c r="B19" s="4" t="s">
        <v>28</v>
      </c>
    </row>
    <row r="20" customFormat="false" ht="35.05" hidden="false" customHeight="false" outlineLevel="0" collapsed="false">
      <c r="A20" s="3" t="s">
        <v>29</v>
      </c>
      <c r="B20" s="4" t="s">
        <v>30</v>
      </c>
    </row>
    <row r="22" customFormat="false" ht="15" hidden="false" customHeight="false" outlineLevel="0" collapsed="false">
      <c r="A22" s="12" t="s">
        <v>31</v>
      </c>
    </row>
    <row r="23" customFormat="false" ht="15" hidden="false" customHeight="false" outlineLevel="0" collapsed="false">
      <c r="A23" s="13" t="s">
        <v>15</v>
      </c>
      <c r="B23" s="13" t="n">
        <f aca="false">COUNTIF('Field Register'!$H$4:$H$61,"*AUTO*")</f>
        <v>4</v>
      </c>
    </row>
    <row r="24" customFormat="false" ht="15" hidden="false" customHeight="false" outlineLevel="0" collapsed="false">
      <c r="A24" s="13" t="s">
        <v>17</v>
      </c>
      <c r="B24" s="13" t="n">
        <f aca="false">COUNTIF('Field Register'!$H$4:$H$61,"*DERIVED*")</f>
        <v>17</v>
      </c>
    </row>
    <row r="25" customFormat="false" ht="15" hidden="false" customHeight="false" outlineLevel="0" collapsed="false">
      <c r="A25" s="13" t="s">
        <v>19</v>
      </c>
      <c r="B25" s="13" t="n">
        <f aca="false">COUNTIF('Field Register'!$H$4:$H$61,"*MANUAL*")</f>
        <v>35</v>
      </c>
    </row>
    <row r="26" customFormat="false" ht="15" hidden="false" customHeight="false" outlineLevel="0" collapsed="false">
      <c r="A26" s="13" t="s">
        <v>21</v>
      </c>
      <c r="B26" s="13" t="n">
        <f aca="false">COUNTIF('Field Register'!$H$4:$H$61,"*MASTER*")</f>
        <v>1</v>
      </c>
    </row>
    <row r="27" customFormat="false" ht="15" hidden="false" customHeight="false" outlineLevel="0" collapsed="false">
      <c r="A27" s="13" t="s">
        <v>23</v>
      </c>
      <c r="B27" s="13" t="n">
        <f aca="false">COUNTIF('Field Register'!$H$4:$H$61,"*SYSTEM*")</f>
        <v>1</v>
      </c>
    </row>
    <row r="28" customFormat="false" ht="15" hidden="false" customHeight="false" outlineLevel="0" collapsed="false">
      <c r="A28" s="14" t="s">
        <v>32</v>
      </c>
      <c r="B28" s="14" t="n">
        <f aca="false">COUNTA('Field Register'!$A$4:$A$61)</f>
        <v>58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20"/>
    <col collapsed="false" customWidth="true" hidden="false" outlineLevel="0" max="5" min="5" style="0" width="26"/>
    <col collapsed="false" customWidth="true" hidden="false" outlineLevel="0" max="6" min="6" style="0" width="32"/>
    <col collapsed="false" customWidth="true" hidden="false" outlineLevel="0" max="7" min="7" style="0" width="50"/>
  </cols>
  <sheetData>
    <row r="1" customFormat="false" ht="24" hidden="false" customHeight="true" outlineLevel="0" collapsed="false">
      <c r="A1" s="15" t="s">
        <v>33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</row>
    <row r="3" customFormat="false" ht="30" hidden="false" customHeight="true" outlineLevel="0" collapsed="false">
      <c r="A3" s="17" t="s">
        <v>35</v>
      </c>
      <c r="B3" s="17" t="s">
        <v>36</v>
      </c>
      <c r="C3" s="17" t="s">
        <v>37</v>
      </c>
      <c r="D3" s="17" t="s">
        <v>38</v>
      </c>
      <c r="E3" s="17" t="s">
        <v>39</v>
      </c>
      <c r="F3" s="17" t="s">
        <v>40</v>
      </c>
      <c r="G3" s="17" t="s">
        <v>41</v>
      </c>
    </row>
    <row r="4" customFormat="false" ht="35.05" hidden="false" customHeight="false" outlineLevel="0" collapsed="false">
      <c r="A4" s="18" t="s">
        <v>42</v>
      </c>
      <c r="B4" s="18" t="s">
        <v>43</v>
      </c>
      <c r="C4" s="18" t="s">
        <v>44</v>
      </c>
      <c r="D4" s="18" t="s">
        <v>45</v>
      </c>
      <c r="E4" s="18" t="s">
        <v>46</v>
      </c>
      <c r="F4" s="18" t="s">
        <v>47</v>
      </c>
      <c r="G4" s="18" t="s">
        <v>48</v>
      </c>
    </row>
    <row r="5" customFormat="false" ht="23.85" hidden="false" customHeight="false" outlineLevel="0" collapsed="false">
      <c r="A5" s="18" t="s">
        <v>49</v>
      </c>
      <c r="B5" s="18" t="s">
        <v>50</v>
      </c>
      <c r="C5" s="18" t="s">
        <v>51</v>
      </c>
      <c r="D5" s="18" t="s">
        <v>45</v>
      </c>
      <c r="E5" s="18" t="s">
        <v>52</v>
      </c>
      <c r="F5" s="18" t="s">
        <v>53</v>
      </c>
      <c r="G5" s="18" t="s">
        <v>54</v>
      </c>
    </row>
    <row r="6" customFormat="false" ht="23.85" hidden="false" customHeight="false" outlineLevel="0" collapsed="false">
      <c r="A6" s="18" t="s">
        <v>55</v>
      </c>
      <c r="B6" s="18" t="s">
        <v>56</v>
      </c>
      <c r="C6" s="18" t="s">
        <v>57</v>
      </c>
      <c r="D6" s="18" t="s">
        <v>45</v>
      </c>
      <c r="E6" s="18" t="s">
        <v>58</v>
      </c>
      <c r="F6" s="18" t="s">
        <v>59</v>
      </c>
      <c r="G6" s="18" t="s">
        <v>60</v>
      </c>
    </row>
    <row r="7" customFormat="false" ht="23.85" hidden="false" customHeight="false" outlineLevel="0" collapsed="false">
      <c r="A7" s="18" t="s">
        <v>61</v>
      </c>
      <c r="B7" s="18" t="s">
        <v>62</v>
      </c>
      <c r="C7" s="18" t="s">
        <v>63</v>
      </c>
      <c r="D7" s="18" t="s">
        <v>45</v>
      </c>
      <c r="E7" s="18" t="s">
        <v>64</v>
      </c>
      <c r="F7" s="18" t="s">
        <v>65</v>
      </c>
      <c r="G7" s="18" t="s">
        <v>66</v>
      </c>
    </row>
    <row r="8" customFormat="false" ht="23.85" hidden="false" customHeight="false" outlineLevel="0" collapsed="false">
      <c r="A8" s="18" t="s">
        <v>67</v>
      </c>
      <c r="B8" s="18" t="s">
        <v>68</v>
      </c>
      <c r="C8" s="18" t="s">
        <v>69</v>
      </c>
      <c r="D8" s="18" t="s">
        <v>70</v>
      </c>
      <c r="E8" s="18" t="s">
        <v>71</v>
      </c>
      <c r="F8" s="18" t="s">
        <v>72</v>
      </c>
      <c r="G8" s="18" t="s">
        <v>73</v>
      </c>
    </row>
    <row r="9" customFormat="false" ht="15" hidden="false" customHeight="false" outlineLevel="0" collapsed="false">
      <c r="A9" s="19" t="s">
        <v>74</v>
      </c>
      <c r="B9" s="19"/>
      <c r="C9" s="19"/>
      <c r="D9" s="19"/>
      <c r="E9" s="19"/>
      <c r="F9" s="19"/>
      <c r="G9" s="19"/>
    </row>
    <row r="10" customFormat="false" ht="15" hidden="false" customHeight="false" outlineLevel="0" collapsed="false">
      <c r="A10" s="18" t="s">
        <v>75</v>
      </c>
      <c r="B10" s="18" t="s">
        <v>76</v>
      </c>
      <c r="C10" s="18" t="s">
        <v>77</v>
      </c>
      <c r="D10" s="18" t="s">
        <v>78</v>
      </c>
      <c r="E10" s="18" t="s">
        <v>79</v>
      </c>
      <c r="F10" s="18" t="s">
        <v>69</v>
      </c>
      <c r="G10" s="18" t="s">
        <v>80</v>
      </c>
    </row>
    <row r="11" customFormat="false" ht="15" hidden="false" customHeight="false" outlineLevel="0" collapsed="false">
      <c r="A11" s="18" t="s">
        <v>81</v>
      </c>
      <c r="B11" s="18" t="s">
        <v>82</v>
      </c>
      <c r="C11" s="18" t="s">
        <v>83</v>
      </c>
      <c r="D11" s="18" t="s">
        <v>78</v>
      </c>
      <c r="E11" s="18" t="s">
        <v>84</v>
      </c>
      <c r="F11" s="18" t="s">
        <v>69</v>
      </c>
      <c r="G11" s="18" t="s">
        <v>85</v>
      </c>
    </row>
    <row r="12" customFormat="false" ht="15" hidden="false" customHeight="false" outlineLevel="0" collapsed="false">
      <c r="A12" s="18" t="s">
        <v>86</v>
      </c>
      <c r="B12" s="18" t="s">
        <v>87</v>
      </c>
      <c r="C12" s="18" t="s">
        <v>88</v>
      </c>
      <c r="D12" s="18" t="s">
        <v>78</v>
      </c>
      <c r="E12" s="18" t="s">
        <v>89</v>
      </c>
      <c r="F12" s="18" t="s">
        <v>69</v>
      </c>
      <c r="G12" s="18" t="s">
        <v>90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28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13"/>
    <col collapsed="false" customWidth="true" hidden="false" outlineLevel="0" max="9" min="9" style="0" width="24"/>
    <col collapsed="false" customWidth="true" hidden="false" outlineLevel="0" max="10" min="10" style="0" width="5"/>
    <col collapsed="false" customWidth="true" hidden="false" outlineLevel="0" max="11" min="11" style="0" width="34"/>
    <col collapsed="false" customWidth="true" hidden="false" outlineLevel="0" max="12" min="12" style="0" width="30"/>
  </cols>
  <sheetData>
    <row r="1" customFormat="false" ht="24" hidden="false" customHeight="true" outlineLevel="0" collapsed="false">
      <c r="A1" s="15" t="s">
        <v>91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customFormat="false" ht="30" hidden="false" customHeight="true" outlineLevel="0" collapsed="false">
      <c r="A3" s="17" t="s">
        <v>92</v>
      </c>
      <c r="B3" s="17" t="s">
        <v>93</v>
      </c>
      <c r="C3" s="17" t="s">
        <v>94</v>
      </c>
      <c r="D3" s="17" t="s">
        <v>95</v>
      </c>
      <c r="E3" s="17" t="s">
        <v>96</v>
      </c>
      <c r="F3" s="17" t="s">
        <v>97</v>
      </c>
      <c r="G3" s="17" t="s">
        <v>98</v>
      </c>
      <c r="H3" s="17" t="s">
        <v>99</v>
      </c>
      <c r="I3" s="17" t="s">
        <v>100</v>
      </c>
      <c r="J3" s="17" t="s">
        <v>101</v>
      </c>
      <c r="K3" s="17" t="s">
        <v>102</v>
      </c>
      <c r="L3" s="17" t="s">
        <v>103</v>
      </c>
    </row>
    <row r="4" customFormat="false" ht="15" hidden="false" customHeight="false" outlineLevel="0" collapsed="false">
      <c r="A4" s="18" t="s">
        <v>104</v>
      </c>
      <c r="B4" s="18" t="s">
        <v>105</v>
      </c>
      <c r="C4" s="18" t="s">
        <v>106</v>
      </c>
      <c r="D4" s="18" t="s">
        <v>107</v>
      </c>
      <c r="E4" s="18" t="s">
        <v>47</v>
      </c>
      <c r="F4" s="18" t="s">
        <v>108</v>
      </c>
      <c r="G4" s="18" t="s">
        <v>69</v>
      </c>
      <c r="H4" s="20" t="s">
        <v>23</v>
      </c>
      <c r="I4" s="18" t="s">
        <v>109</v>
      </c>
      <c r="J4" s="18" t="s">
        <v>110</v>
      </c>
      <c r="K4" s="18" t="s">
        <v>111</v>
      </c>
      <c r="L4" s="18"/>
    </row>
    <row r="5" customFormat="false" ht="15" hidden="false" customHeight="false" outlineLevel="0" collapsed="false">
      <c r="A5" s="18" t="s">
        <v>112</v>
      </c>
      <c r="B5" s="18" t="s">
        <v>105</v>
      </c>
      <c r="C5" s="18" t="s">
        <v>113</v>
      </c>
      <c r="D5" s="18" t="s">
        <v>114</v>
      </c>
      <c r="E5" s="18" t="s">
        <v>47</v>
      </c>
      <c r="F5" s="18" t="s">
        <v>108</v>
      </c>
      <c r="G5" s="18" t="s">
        <v>69</v>
      </c>
      <c r="H5" s="21" t="s">
        <v>17</v>
      </c>
      <c r="I5" s="18" t="s">
        <v>115</v>
      </c>
      <c r="J5" s="18" t="s">
        <v>110</v>
      </c>
      <c r="K5" s="18" t="s">
        <v>69</v>
      </c>
      <c r="L5" s="18" t="s">
        <v>116</v>
      </c>
    </row>
    <row r="6" customFormat="false" ht="15" hidden="false" customHeight="false" outlineLevel="0" collapsed="false">
      <c r="A6" s="18" t="s">
        <v>117</v>
      </c>
      <c r="B6" s="18" t="s">
        <v>105</v>
      </c>
      <c r="C6" s="18" t="s">
        <v>118</v>
      </c>
      <c r="D6" s="18" t="s">
        <v>119</v>
      </c>
      <c r="E6" s="18" t="s">
        <v>47</v>
      </c>
      <c r="F6" s="18" t="s">
        <v>108</v>
      </c>
      <c r="G6" s="18" t="s">
        <v>69</v>
      </c>
      <c r="H6" s="21" t="s">
        <v>17</v>
      </c>
      <c r="I6" s="18" t="s">
        <v>120</v>
      </c>
      <c r="J6" s="18" t="s">
        <v>121</v>
      </c>
      <c r="K6" s="18" t="s">
        <v>122</v>
      </c>
      <c r="L6" s="18"/>
    </row>
    <row r="7" customFormat="false" ht="15" hidden="false" customHeight="false" outlineLevel="0" collapsed="false">
      <c r="A7" s="18" t="s">
        <v>123</v>
      </c>
      <c r="B7" s="18" t="s">
        <v>105</v>
      </c>
      <c r="C7" s="18" t="s">
        <v>124</v>
      </c>
      <c r="D7" s="18" t="s">
        <v>125</v>
      </c>
      <c r="E7" s="18" t="s">
        <v>47</v>
      </c>
      <c r="F7" s="18" t="s">
        <v>108</v>
      </c>
      <c r="G7" s="18" t="s">
        <v>69</v>
      </c>
      <c r="H7" s="21" t="s">
        <v>17</v>
      </c>
      <c r="I7" s="18" t="s">
        <v>126</v>
      </c>
      <c r="J7" s="18" t="s">
        <v>110</v>
      </c>
      <c r="K7" s="18" t="s">
        <v>127</v>
      </c>
      <c r="L7" s="18" t="s">
        <v>128</v>
      </c>
    </row>
    <row r="8" customFormat="false" ht="23.85" hidden="false" customHeight="false" outlineLevel="0" collapsed="false">
      <c r="A8" s="18" t="s">
        <v>129</v>
      </c>
      <c r="B8" s="18" t="s">
        <v>105</v>
      </c>
      <c r="C8" s="18" t="s">
        <v>130</v>
      </c>
      <c r="D8" s="18" t="s">
        <v>131</v>
      </c>
      <c r="E8" s="18" t="s">
        <v>47</v>
      </c>
      <c r="F8" s="18" t="s">
        <v>132</v>
      </c>
      <c r="G8" s="18" t="s">
        <v>133</v>
      </c>
      <c r="H8" s="21" t="s">
        <v>17</v>
      </c>
      <c r="I8" s="18" t="s">
        <v>134</v>
      </c>
      <c r="J8" s="18" t="s">
        <v>110</v>
      </c>
      <c r="K8" s="18" t="s">
        <v>135</v>
      </c>
      <c r="L8" s="18"/>
    </row>
    <row r="9" customFormat="false" ht="15" hidden="false" customHeight="false" outlineLevel="0" collapsed="false">
      <c r="A9" s="18" t="s">
        <v>136</v>
      </c>
      <c r="B9" s="18" t="s">
        <v>105</v>
      </c>
      <c r="C9" s="18" t="s">
        <v>137</v>
      </c>
      <c r="D9" s="18" t="s">
        <v>138</v>
      </c>
      <c r="E9" s="18" t="s">
        <v>47</v>
      </c>
      <c r="F9" s="18" t="s">
        <v>108</v>
      </c>
      <c r="G9" s="18" t="s">
        <v>69</v>
      </c>
      <c r="H9" s="21" t="s">
        <v>17</v>
      </c>
      <c r="I9" s="18" t="s">
        <v>139</v>
      </c>
      <c r="J9" s="18" t="s">
        <v>110</v>
      </c>
      <c r="K9" s="18" t="s">
        <v>140</v>
      </c>
      <c r="L9" s="18" t="s">
        <v>141</v>
      </c>
    </row>
    <row r="10" customFormat="false" ht="15" hidden="false" customHeight="false" outlineLevel="0" collapsed="false">
      <c r="A10" s="18" t="s">
        <v>142</v>
      </c>
      <c r="B10" s="18" t="s">
        <v>105</v>
      </c>
      <c r="C10" s="18" t="s">
        <v>143</v>
      </c>
      <c r="D10" s="18" t="s">
        <v>144</v>
      </c>
      <c r="E10" s="18" t="s">
        <v>47</v>
      </c>
      <c r="F10" s="18" t="s">
        <v>145</v>
      </c>
      <c r="G10" s="18" t="s">
        <v>69</v>
      </c>
      <c r="H10" s="22" t="s">
        <v>19</v>
      </c>
      <c r="I10" s="18" t="s">
        <v>146</v>
      </c>
      <c r="J10" s="18" t="s">
        <v>110</v>
      </c>
      <c r="K10" s="18" t="s">
        <v>147</v>
      </c>
      <c r="L10" s="18" t="s">
        <v>148</v>
      </c>
    </row>
    <row r="11" customFormat="false" ht="15" hidden="false" customHeight="false" outlineLevel="0" collapsed="false">
      <c r="A11" s="18" t="s">
        <v>149</v>
      </c>
      <c r="B11" s="18" t="s">
        <v>105</v>
      </c>
      <c r="C11" s="18" t="s">
        <v>150</v>
      </c>
      <c r="D11" s="18" t="s">
        <v>151</v>
      </c>
      <c r="E11" s="18" t="s">
        <v>47</v>
      </c>
      <c r="F11" s="18" t="s">
        <v>108</v>
      </c>
      <c r="G11" s="18" t="s">
        <v>69</v>
      </c>
      <c r="H11" s="21" t="s">
        <v>17</v>
      </c>
      <c r="I11" s="18" t="s">
        <v>152</v>
      </c>
      <c r="J11" s="18" t="s">
        <v>110</v>
      </c>
      <c r="K11" s="18" t="s">
        <v>69</v>
      </c>
      <c r="L11" s="18" t="s">
        <v>153</v>
      </c>
    </row>
    <row r="12" customFormat="false" ht="15" hidden="false" customHeight="false" outlineLevel="0" collapsed="false">
      <c r="A12" s="18" t="s">
        <v>154</v>
      </c>
      <c r="B12" s="18" t="s">
        <v>105</v>
      </c>
      <c r="C12" s="18" t="s">
        <v>155</v>
      </c>
      <c r="D12" s="18" t="s">
        <v>156</v>
      </c>
      <c r="E12" s="18" t="s">
        <v>47</v>
      </c>
      <c r="F12" s="18" t="s">
        <v>108</v>
      </c>
      <c r="G12" s="18" t="s">
        <v>69</v>
      </c>
      <c r="H12" s="21" t="s">
        <v>17</v>
      </c>
      <c r="I12" s="18" t="s">
        <v>157</v>
      </c>
      <c r="J12" s="18" t="s">
        <v>110</v>
      </c>
      <c r="K12" s="18" t="s">
        <v>158</v>
      </c>
      <c r="L12" s="18"/>
    </row>
    <row r="13" customFormat="false" ht="15" hidden="false" customHeight="false" outlineLevel="0" collapsed="false">
      <c r="A13" s="18" t="s">
        <v>159</v>
      </c>
      <c r="B13" s="18" t="s">
        <v>160</v>
      </c>
      <c r="C13" s="18" t="s">
        <v>161</v>
      </c>
      <c r="D13" s="18" t="s">
        <v>162</v>
      </c>
      <c r="E13" s="18" t="s">
        <v>72</v>
      </c>
      <c r="F13" s="18" t="s">
        <v>163</v>
      </c>
      <c r="G13" s="18" t="s">
        <v>69</v>
      </c>
      <c r="H13" s="22" t="s">
        <v>19</v>
      </c>
      <c r="I13" s="18" t="s">
        <v>146</v>
      </c>
      <c r="J13" s="18" t="s">
        <v>110</v>
      </c>
      <c r="K13" s="18" t="s">
        <v>69</v>
      </c>
      <c r="L13" s="18"/>
    </row>
    <row r="14" customFormat="false" ht="15" hidden="false" customHeight="false" outlineLevel="0" collapsed="false">
      <c r="A14" s="18" t="s">
        <v>164</v>
      </c>
      <c r="B14" s="18" t="s">
        <v>160</v>
      </c>
      <c r="C14" s="18" t="s">
        <v>165</v>
      </c>
      <c r="D14" s="18" t="s">
        <v>166</v>
      </c>
      <c r="E14" s="18" t="s">
        <v>72</v>
      </c>
      <c r="F14" s="18" t="s">
        <v>163</v>
      </c>
      <c r="G14" s="18" t="s">
        <v>69</v>
      </c>
      <c r="H14" s="22" t="s">
        <v>19</v>
      </c>
      <c r="I14" s="18" t="s">
        <v>167</v>
      </c>
      <c r="J14" s="18" t="s">
        <v>110</v>
      </c>
      <c r="K14" s="18" t="s">
        <v>168</v>
      </c>
      <c r="L14" s="18"/>
    </row>
    <row r="15" customFormat="false" ht="15" hidden="false" customHeight="false" outlineLevel="0" collapsed="false">
      <c r="A15" s="18" t="s">
        <v>169</v>
      </c>
      <c r="B15" s="18" t="s">
        <v>160</v>
      </c>
      <c r="C15" s="18" t="s">
        <v>170</v>
      </c>
      <c r="D15" s="18" t="s">
        <v>171</v>
      </c>
      <c r="E15" s="18" t="s">
        <v>72</v>
      </c>
      <c r="F15" s="18" t="s">
        <v>163</v>
      </c>
      <c r="G15" s="18" t="s">
        <v>69</v>
      </c>
      <c r="H15" s="22" t="s">
        <v>19</v>
      </c>
      <c r="I15" s="18" t="s">
        <v>146</v>
      </c>
      <c r="J15" s="18" t="s">
        <v>110</v>
      </c>
      <c r="K15" s="18" t="s">
        <v>69</v>
      </c>
      <c r="L15" s="18"/>
    </row>
    <row r="16" customFormat="false" ht="15" hidden="false" customHeight="false" outlineLevel="0" collapsed="false">
      <c r="A16" s="18" t="s">
        <v>172</v>
      </c>
      <c r="B16" s="18" t="s">
        <v>160</v>
      </c>
      <c r="C16" s="18" t="s">
        <v>173</v>
      </c>
      <c r="D16" s="18" t="s">
        <v>174</v>
      </c>
      <c r="E16" s="18" t="s">
        <v>72</v>
      </c>
      <c r="F16" s="18" t="s">
        <v>163</v>
      </c>
      <c r="G16" s="18" t="s">
        <v>69</v>
      </c>
      <c r="H16" s="22" t="s">
        <v>19</v>
      </c>
      <c r="I16" s="18" t="s">
        <v>146</v>
      </c>
      <c r="J16" s="18" t="s">
        <v>110</v>
      </c>
      <c r="K16" s="18" t="s">
        <v>69</v>
      </c>
      <c r="L16" s="18" t="s">
        <v>175</v>
      </c>
    </row>
    <row r="17" customFormat="false" ht="15" hidden="false" customHeight="false" outlineLevel="0" collapsed="false">
      <c r="A17" s="18" t="s">
        <v>176</v>
      </c>
      <c r="B17" s="18" t="s">
        <v>160</v>
      </c>
      <c r="C17" s="18" t="s">
        <v>177</v>
      </c>
      <c r="D17" s="18" t="s">
        <v>178</v>
      </c>
      <c r="E17" s="18" t="s">
        <v>72</v>
      </c>
      <c r="F17" s="18" t="s">
        <v>108</v>
      </c>
      <c r="G17" s="18" t="s">
        <v>69</v>
      </c>
      <c r="H17" s="22" t="s">
        <v>19</v>
      </c>
      <c r="I17" s="18" t="s">
        <v>146</v>
      </c>
      <c r="J17" s="18" t="s">
        <v>110</v>
      </c>
      <c r="K17" s="18" t="s">
        <v>179</v>
      </c>
      <c r="L17" s="18" t="s">
        <v>180</v>
      </c>
    </row>
    <row r="18" customFormat="false" ht="15" hidden="false" customHeight="false" outlineLevel="0" collapsed="false">
      <c r="A18" s="18" t="s">
        <v>181</v>
      </c>
      <c r="B18" s="18" t="s">
        <v>160</v>
      </c>
      <c r="C18" s="18" t="s">
        <v>182</v>
      </c>
      <c r="D18" s="18" t="s">
        <v>183</v>
      </c>
      <c r="E18" s="18" t="s">
        <v>72</v>
      </c>
      <c r="F18" s="18" t="s">
        <v>184</v>
      </c>
      <c r="G18" s="18" t="s">
        <v>69</v>
      </c>
      <c r="H18" s="23" t="s">
        <v>21</v>
      </c>
      <c r="I18" s="18" t="s">
        <v>185</v>
      </c>
      <c r="J18" s="18" t="s">
        <v>121</v>
      </c>
      <c r="K18" s="18" t="s">
        <v>186</v>
      </c>
      <c r="L18" s="18" t="s">
        <v>187</v>
      </c>
    </row>
    <row r="19" customFormat="false" ht="15" hidden="false" customHeight="false" outlineLevel="0" collapsed="false">
      <c r="A19" s="18" t="s">
        <v>188</v>
      </c>
      <c r="B19" s="18" t="s">
        <v>160</v>
      </c>
      <c r="C19" s="18" t="s">
        <v>189</v>
      </c>
      <c r="D19" s="18" t="s">
        <v>190</v>
      </c>
      <c r="E19" s="18" t="s">
        <v>72</v>
      </c>
      <c r="F19" s="18" t="s">
        <v>163</v>
      </c>
      <c r="G19" s="18" t="s">
        <v>69</v>
      </c>
      <c r="H19" s="22" t="s">
        <v>19</v>
      </c>
      <c r="I19" s="18" t="s">
        <v>146</v>
      </c>
      <c r="J19" s="18" t="s">
        <v>110</v>
      </c>
      <c r="K19" s="18" t="s">
        <v>191</v>
      </c>
      <c r="L19" s="18"/>
    </row>
    <row r="20" customFormat="false" ht="15" hidden="false" customHeight="false" outlineLevel="0" collapsed="false">
      <c r="A20" s="18" t="s">
        <v>192</v>
      </c>
      <c r="B20" s="18" t="s">
        <v>193</v>
      </c>
      <c r="C20" s="18" t="s">
        <v>194</v>
      </c>
      <c r="D20" s="18" t="s">
        <v>138</v>
      </c>
      <c r="E20" s="18" t="s">
        <v>47</v>
      </c>
      <c r="F20" s="18" t="s">
        <v>108</v>
      </c>
      <c r="G20" s="18" t="s">
        <v>69</v>
      </c>
      <c r="H20" s="21" t="s">
        <v>17</v>
      </c>
      <c r="I20" s="18" t="s">
        <v>195</v>
      </c>
      <c r="J20" s="18" t="s">
        <v>110</v>
      </c>
      <c r="K20" s="18" t="s">
        <v>140</v>
      </c>
      <c r="L20" s="18" t="s">
        <v>196</v>
      </c>
    </row>
    <row r="21" customFormat="false" ht="15" hidden="false" customHeight="false" outlineLevel="0" collapsed="false">
      <c r="A21" s="18" t="s">
        <v>197</v>
      </c>
      <c r="B21" s="18" t="s">
        <v>193</v>
      </c>
      <c r="C21" s="18" t="s">
        <v>198</v>
      </c>
      <c r="D21" s="18" t="s">
        <v>199</v>
      </c>
      <c r="E21" s="18" t="s">
        <v>47</v>
      </c>
      <c r="F21" s="18" t="s">
        <v>108</v>
      </c>
      <c r="G21" s="18" t="s">
        <v>69</v>
      </c>
      <c r="H21" s="22" t="s">
        <v>19</v>
      </c>
      <c r="I21" s="18" t="s">
        <v>146</v>
      </c>
      <c r="J21" s="18" t="s">
        <v>110</v>
      </c>
      <c r="K21" s="18" t="s">
        <v>69</v>
      </c>
      <c r="L21" s="18"/>
    </row>
    <row r="22" customFormat="false" ht="15" hidden="false" customHeight="false" outlineLevel="0" collapsed="false">
      <c r="A22" s="18" t="s">
        <v>200</v>
      </c>
      <c r="B22" s="18" t="s">
        <v>193</v>
      </c>
      <c r="C22" s="18" t="s">
        <v>201</v>
      </c>
      <c r="D22" s="18" t="s">
        <v>202</v>
      </c>
      <c r="E22" s="18" t="s">
        <v>47</v>
      </c>
      <c r="F22" s="18" t="s">
        <v>108</v>
      </c>
      <c r="G22" s="18" t="s">
        <v>69</v>
      </c>
      <c r="H22" s="21" t="s">
        <v>17</v>
      </c>
      <c r="I22" s="18" t="s">
        <v>120</v>
      </c>
      <c r="J22" s="18" t="s">
        <v>110</v>
      </c>
      <c r="K22" s="18" t="s">
        <v>69</v>
      </c>
      <c r="L22" s="18"/>
    </row>
    <row r="23" customFormat="false" ht="15" hidden="false" customHeight="false" outlineLevel="0" collapsed="false">
      <c r="A23" s="18" t="s">
        <v>203</v>
      </c>
      <c r="B23" s="18" t="s">
        <v>193</v>
      </c>
      <c r="C23" s="18" t="s">
        <v>204</v>
      </c>
      <c r="D23" s="18" t="s">
        <v>205</v>
      </c>
      <c r="E23" s="18" t="s">
        <v>47</v>
      </c>
      <c r="F23" s="18" t="s">
        <v>132</v>
      </c>
      <c r="G23" s="18" t="s">
        <v>133</v>
      </c>
      <c r="H23" s="21" t="s">
        <v>17</v>
      </c>
      <c r="I23" s="18" t="s">
        <v>120</v>
      </c>
      <c r="J23" s="18" t="s">
        <v>110</v>
      </c>
      <c r="K23" s="18" t="s">
        <v>69</v>
      </c>
      <c r="L23" s="18"/>
    </row>
    <row r="24" customFormat="false" ht="15" hidden="false" customHeight="false" outlineLevel="0" collapsed="false">
      <c r="A24" s="18" t="s">
        <v>206</v>
      </c>
      <c r="B24" s="18" t="s">
        <v>193</v>
      </c>
      <c r="C24" s="18" t="s">
        <v>207</v>
      </c>
      <c r="D24" s="18" t="s">
        <v>208</v>
      </c>
      <c r="E24" s="18" t="s">
        <v>47</v>
      </c>
      <c r="F24" s="18" t="s">
        <v>132</v>
      </c>
      <c r="G24" s="18" t="s">
        <v>133</v>
      </c>
      <c r="H24" s="22" t="s">
        <v>19</v>
      </c>
      <c r="I24" s="18" t="s">
        <v>209</v>
      </c>
      <c r="J24" s="18" t="s">
        <v>110</v>
      </c>
      <c r="K24" s="18" t="s">
        <v>210</v>
      </c>
      <c r="L24" s="18" t="s">
        <v>211</v>
      </c>
    </row>
    <row r="25" customFormat="false" ht="15" hidden="false" customHeight="false" outlineLevel="0" collapsed="false">
      <c r="A25" s="18" t="s">
        <v>212</v>
      </c>
      <c r="B25" s="18" t="s">
        <v>193</v>
      </c>
      <c r="C25" s="18" t="s">
        <v>213</v>
      </c>
      <c r="D25" s="18" t="s">
        <v>214</v>
      </c>
      <c r="E25" s="18" t="s">
        <v>47</v>
      </c>
      <c r="F25" s="18" t="s">
        <v>132</v>
      </c>
      <c r="G25" s="18" t="s">
        <v>133</v>
      </c>
      <c r="H25" s="22" t="s">
        <v>19</v>
      </c>
      <c r="I25" s="18" t="s">
        <v>209</v>
      </c>
      <c r="J25" s="18" t="s">
        <v>110</v>
      </c>
      <c r="K25" s="18" t="s">
        <v>215</v>
      </c>
      <c r="L25" s="18" t="s">
        <v>216</v>
      </c>
    </row>
    <row r="26" customFormat="false" ht="15" hidden="false" customHeight="false" outlineLevel="0" collapsed="false">
      <c r="A26" s="18" t="s">
        <v>217</v>
      </c>
      <c r="B26" s="18" t="s">
        <v>193</v>
      </c>
      <c r="C26" s="18" t="s">
        <v>218</v>
      </c>
      <c r="D26" s="18" t="s">
        <v>219</v>
      </c>
      <c r="E26" s="18" t="s">
        <v>47</v>
      </c>
      <c r="F26" s="18" t="s">
        <v>184</v>
      </c>
      <c r="G26" s="18" t="s">
        <v>133</v>
      </c>
      <c r="H26" s="21" t="s">
        <v>17</v>
      </c>
      <c r="I26" s="18" t="s">
        <v>120</v>
      </c>
      <c r="J26" s="18" t="s">
        <v>121</v>
      </c>
      <c r="K26" s="18" t="s">
        <v>220</v>
      </c>
      <c r="L26" s="18"/>
    </row>
    <row r="27" customFormat="false" ht="15" hidden="false" customHeight="false" outlineLevel="0" collapsed="false">
      <c r="A27" s="18" t="s">
        <v>221</v>
      </c>
      <c r="B27" s="18" t="s">
        <v>193</v>
      </c>
      <c r="C27" s="18" t="s">
        <v>222</v>
      </c>
      <c r="D27" s="18" t="s">
        <v>223</v>
      </c>
      <c r="E27" s="18" t="s">
        <v>47</v>
      </c>
      <c r="F27" s="18" t="s">
        <v>145</v>
      </c>
      <c r="G27" s="18" t="s">
        <v>69</v>
      </c>
      <c r="H27" s="22" t="s">
        <v>19</v>
      </c>
      <c r="I27" s="18" t="s">
        <v>146</v>
      </c>
      <c r="J27" s="18" t="s">
        <v>110</v>
      </c>
      <c r="K27" s="18" t="s">
        <v>224</v>
      </c>
      <c r="L27" s="18" t="s">
        <v>225</v>
      </c>
    </row>
    <row r="28" customFormat="false" ht="15" hidden="false" customHeight="false" outlineLevel="0" collapsed="false">
      <c r="A28" s="18" t="s">
        <v>226</v>
      </c>
      <c r="B28" s="18" t="s">
        <v>193</v>
      </c>
      <c r="C28" s="18" t="s">
        <v>227</v>
      </c>
      <c r="D28" s="18" t="s">
        <v>228</v>
      </c>
      <c r="E28" s="18" t="s">
        <v>47</v>
      </c>
      <c r="F28" s="18" t="s">
        <v>184</v>
      </c>
      <c r="G28" s="18" t="s">
        <v>229</v>
      </c>
      <c r="H28" s="22" t="s">
        <v>19</v>
      </c>
      <c r="I28" s="18" t="s">
        <v>230</v>
      </c>
      <c r="J28" s="18" t="s">
        <v>110</v>
      </c>
      <c r="K28" s="18" t="s">
        <v>231</v>
      </c>
      <c r="L28" s="18" t="s">
        <v>232</v>
      </c>
    </row>
    <row r="29" customFormat="false" ht="15" hidden="false" customHeight="false" outlineLevel="0" collapsed="false">
      <c r="A29" s="18" t="s">
        <v>233</v>
      </c>
      <c r="B29" s="18" t="s">
        <v>193</v>
      </c>
      <c r="C29" s="18" t="s">
        <v>234</v>
      </c>
      <c r="D29" s="18" t="s">
        <v>235</v>
      </c>
      <c r="E29" s="18" t="s">
        <v>47</v>
      </c>
      <c r="F29" s="18" t="s">
        <v>236</v>
      </c>
      <c r="G29" s="18" t="s">
        <v>237</v>
      </c>
      <c r="H29" s="22" t="s">
        <v>19</v>
      </c>
      <c r="I29" s="18" t="s">
        <v>146</v>
      </c>
      <c r="J29" s="18" t="s">
        <v>121</v>
      </c>
      <c r="K29" s="18" t="s">
        <v>231</v>
      </c>
      <c r="L29" s="18" t="s">
        <v>238</v>
      </c>
    </row>
    <row r="30" customFormat="false" ht="15" hidden="false" customHeight="false" outlineLevel="0" collapsed="false">
      <c r="A30" s="18" t="s">
        <v>239</v>
      </c>
      <c r="B30" s="18" t="s">
        <v>193</v>
      </c>
      <c r="C30" s="18" t="s">
        <v>240</v>
      </c>
      <c r="D30" s="18" t="s">
        <v>241</v>
      </c>
      <c r="E30" s="18" t="s">
        <v>47</v>
      </c>
      <c r="F30" s="18" t="s">
        <v>184</v>
      </c>
      <c r="G30" s="18" t="s">
        <v>242</v>
      </c>
      <c r="H30" s="24" t="s">
        <v>15</v>
      </c>
      <c r="I30" s="18" t="s">
        <v>243</v>
      </c>
      <c r="J30" s="18" t="s">
        <v>121</v>
      </c>
      <c r="K30" s="18" t="s">
        <v>69</v>
      </c>
      <c r="L30" s="18" t="s">
        <v>244</v>
      </c>
    </row>
    <row r="31" customFormat="false" ht="15" hidden="false" customHeight="false" outlineLevel="0" collapsed="false">
      <c r="A31" s="18" t="s">
        <v>245</v>
      </c>
      <c r="B31" s="18" t="s">
        <v>193</v>
      </c>
      <c r="C31" s="18" t="s">
        <v>246</v>
      </c>
      <c r="D31" s="18" t="s">
        <v>247</v>
      </c>
      <c r="E31" s="18" t="s">
        <v>47</v>
      </c>
      <c r="F31" s="18" t="s">
        <v>184</v>
      </c>
      <c r="G31" s="18" t="s">
        <v>248</v>
      </c>
      <c r="H31" s="24" t="s">
        <v>15</v>
      </c>
      <c r="I31" s="18" t="s">
        <v>243</v>
      </c>
      <c r="J31" s="18" t="s">
        <v>121</v>
      </c>
      <c r="K31" s="18" t="s">
        <v>69</v>
      </c>
      <c r="L31" s="18" t="s">
        <v>249</v>
      </c>
    </row>
    <row r="32" customFormat="false" ht="15" hidden="false" customHeight="false" outlineLevel="0" collapsed="false">
      <c r="A32" s="18" t="s">
        <v>250</v>
      </c>
      <c r="B32" s="18" t="s">
        <v>193</v>
      </c>
      <c r="C32" s="18" t="s">
        <v>251</v>
      </c>
      <c r="D32" s="18" t="s">
        <v>252</v>
      </c>
      <c r="E32" s="18" t="s">
        <v>47</v>
      </c>
      <c r="F32" s="18" t="s">
        <v>184</v>
      </c>
      <c r="G32" s="18" t="s">
        <v>253</v>
      </c>
      <c r="H32" s="24" t="s">
        <v>15</v>
      </c>
      <c r="I32" s="18" t="s">
        <v>243</v>
      </c>
      <c r="J32" s="18" t="s">
        <v>121</v>
      </c>
      <c r="K32" s="18" t="s">
        <v>69</v>
      </c>
      <c r="L32" s="18" t="s">
        <v>254</v>
      </c>
    </row>
    <row r="33" customFormat="false" ht="15" hidden="false" customHeight="false" outlineLevel="0" collapsed="false">
      <c r="A33" s="18" t="s">
        <v>255</v>
      </c>
      <c r="B33" s="18" t="s">
        <v>193</v>
      </c>
      <c r="C33" s="18" t="s">
        <v>256</v>
      </c>
      <c r="D33" s="18" t="s">
        <v>257</v>
      </c>
      <c r="E33" s="18" t="s">
        <v>47</v>
      </c>
      <c r="F33" s="18" t="s">
        <v>108</v>
      </c>
      <c r="G33" s="18" t="s">
        <v>69</v>
      </c>
      <c r="H33" s="22" t="s">
        <v>19</v>
      </c>
      <c r="I33" s="18" t="s">
        <v>146</v>
      </c>
      <c r="J33" s="18" t="s">
        <v>121</v>
      </c>
      <c r="K33" s="18" t="s">
        <v>69</v>
      </c>
      <c r="L33" s="18" t="s">
        <v>258</v>
      </c>
    </row>
    <row r="34" customFormat="false" ht="15" hidden="false" customHeight="false" outlineLevel="0" collapsed="false">
      <c r="A34" s="18" t="s">
        <v>259</v>
      </c>
      <c r="B34" s="18" t="s">
        <v>193</v>
      </c>
      <c r="C34" s="18" t="s">
        <v>260</v>
      </c>
      <c r="D34" s="18" t="s">
        <v>261</v>
      </c>
      <c r="E34" s="18" t="s">
        <v>262</v>
      </c>
      <c r="F34" s="18" t="s">
        <v>184</v>
      </c>
      <c r="G34" s="18" t="s">
        <v>133</v>
      </c>
      <c r="H34" s="22" t="s">
        <v>19</v>
      </c>
      <c r="I34" s="18" t="s">
        <v>263</v>
      </c>
      <c r="J34" s="18" t="s">
        <v>121</v>
      </c>
      <c r="K34" s="18" t="s">
        <v>264</v>
      </c>
      <c r="L34" s="18" t="s">
        <v>265</v>
      </c>
    </row>
    <row r="35" customFormat="false" ht="15" hidden="false" customHeight="false" outlineLevel="0" collapsed="false">
      <c r="A35" s="18" t="s">
        <v>266</v>
      </c>
      <c r="B35" s="18" t="s">
        <v>193</v>
      </c>
      <c r="C35" s="18" t="s">
        <v>267</v>
      </c>
      <c r="D35" s="18" t="s">
        <v>268</v>
      </c>
      <c r="E35" s="18" t="s">
        <v>262</v>
      </c>
      <c r="F35" s="18" t="s">
        <v>108</v>
      </c>
      <c r="G35" s="18" t="s">
        <v>69</v>
      </c>
      <c r="H35" s="22" t="s">
        <v>19</v>
      </c>
      <c r="I35" s="18" t="s">
        <v>269</v>
      </c>
      <c r="J35" s="18" t="s">
        <v>121</v>
      </c>
      <c r="K35" s="18" t="s">
        <v>270</v>
      </c>
      <c r="L35" s="18"/>
    </row>
    <row r="36" customFormat="false" ht="23.85" hidden="false" customHeight="false" outlineLevel="0" collapsed="false">
      <c r="A36" s="18" t="s">
        <v>271</v>
      </c>
      <c r="B36" s="18" t="s">
        <v>193</v>
      </c>
      <c r="C36" s="18" t="s">
        <v>272</v>
      </c>
      <c r="D36" s="18" t="s">
        <v>273</v>
      </c>
      <c r="E36" s="18" t="s">
        <v>262</v>
      </c>
      <c r="F36" s="18" t="s">
        <v>163</v>
      </c>
      <c r="G36" s="18" t="s">
        <v>69</v>
      </c>
      <c r="H36" s="22" t="s">
        <v>19</v>
      </c>
      <c r="I36" s="18" t="s">
        <v>146</v>
      </c>
      <c r="J36" s="18" t="s">
        <v>121</v>
      </c>
      <c r="K36" s="18" t="s">
        <v>274</v>
      </c>
      <c r="L36" s="18" t="s">
        <v>275</v>
      </c>
    </row>
    <row r="37" customFormat="false" ht="15" hidden="false" customHeight="false" outlineLevel="0" collapsed="false">
      <c r="A37" s="18" t="s">
        <v>276</v>
      </c>
      <c r="B37" s="18" t="s">
        <v>193</v>
      </c>
      <c r="C37" s="18" t="s">
        <v>277</v>
      </c>
      <c r="D37" s="18" t="s">
        <v>278</v>
      </c>
      <c r="E37" s="18" t="s">
        <v>262</v>
      </c>
      <c r="F37" s="18" t="s">
        <v>145</v>
      </c>
      <c r="G37" s="18" t="s">
        <v>69</v>
      </c>
      <c r="H37" s="22" t="s">
        <v>19</v>
      </c>
      <c r="I37" s="18" t="s">
        <v>146</v>
      </c>
      <c r="J37" s="18" t="s">
        <v>110</v>
      </c>
      <c r="K37" s="18" t="s">
        <v>279</v>
      </c>
      <c r="L37" s="18" t="s">
        <v>280</v>
      </c>
    </row>
    <row r="38" customFormat="false" ht="15" hidden="false" customHeight="false" outlineLevel="0" collapsed="false">
      <c r="A38" s="18" t="s">
        <v>281</v>
      </c>
      <c r="B38" s="18" t="s">
        <v>193</v>
      </c>
      <c r="C38" s="18" t="s">
        <v>282</v>
      </c>
      <c r="D38" s="18" t="s">
        <v>283</v>
      </c>
      <c r="E38" s="18" t="s">
        <v>47</v>
      </c>
      <c r="F38" s="18" t="s">
        <v>108</v>
      </c>
      <c r="G38" s="18" t="s">
        <v>69</v>
      </c>
      <c r="H38" s="22" t="s">
        <v>19</v>
      </c>
      <c r="I38" s="18" t="s">
        <v>146</v>
      </c>
      <c r="J38" s="18" t="s">
        <v>110</v>
      </c>
      <c r="K38" s="18" t="s">
        <v>284</v>
      </c>
      <c r="L38" s="18" t="s">
        <v>285</v>
      </c>
    </row>
    <row r="39" customFormat="false" ht="15" hidden="false" customHeight="false" outlineLevel="0" collapsed="false">
      <c r="A39" s="18" t="s">
        <v>286</v>
      </c>
      <c r="B39" s="18" t="s">
        <v>287</v>
      </c>
      <c r="C39" s="18" t="s">
        <v>288</v>
      </c>
      <c r="D39" s="18" t="s">
        <v>289</v>
      </c>
      <c r="E39" s="18" t="s">
        <v>53</v>
      </c>
      <c r="F39" s="18" t="s">
        <v>132</v>
      </c>
      <c r="G39" s="18" t="s">
        <v>133</v>
      </c>
      <c r="H39" s="21" t="s">
        <v>17</v>
      </c>
      <c r="I39" s="18" t="s">
        <v>120</v>
      </c>
      <c r="J39" s="18" t="s">
        <v>110</v>
      </c>
      <c r="K39" s="18" t="s">
        <v>69</v>
      </c>
      <c r="L39" s="18" t="s">
        <v>290</v>
      </c>
    </row>
    <row r="40" customFormat="false" ht="15" hidden="false" customHeight="false" outlineLevel="0" collapsed="false">
      <c r="A40" s="18" t="s">
        <v>291</v>
      </c>
      <c r="B40" s="18" t="s">
        <v>287</v>
      </c>
      <c r="C40" s="18" t="s">
        <v>292</v>
      </c>
      <c r="D40" s="18" t="s">
        <v>293</v>
      </c>
      <c r="E40" s="18" t="s">
        <v>53</v>
      </c>
      <c r="F40" s="18" t="s">
        <v>108</v>
      </c>
      <c r="G40" s="18" t="s">
        <v>69</v>
      </c>
      <c r="H40" s="22" t="s">
        <v>19</v>
      </c>
      <c r="I40" s="18" t="s">
        <v>294</v>
      </c>
      <c r="J40" s="18" t="s">
        <v>110</v>
      </c>
      <c r="K40" s="18" t="s">
        <v>295</v>
      </c>
      <c r="L40" s="18"/>
    </row>
    <row r="41" customFormat="false" ht="15" hidden="false" customHeight="false" outlineLevel="0" collapsed="false">
      <c r="A41" s="18" t="s">
        <v>296</v>
      </c>
      <c r="B41" s="18" t="s">
        <v>287</v>
      </c>
      <c r="C41" s="18" t="s">
        <v>297</v>
      </c>
      <c r="D41" s="18" t="s">
        <v>223</v>
      </c>
      <c r="E41" s="18" t="s">
        <v>53</v>
      </c>
      <c r="F41" s="18" t="s">
        <v>145</v>
      </c>
      <c r="G41" s="18" t="s">
        <v>69</v>
      </c>
      <c r="H41" s="22" t="s">
        <v>19</v>
      </c>
      <c r="I41" s="18" t="s">
        <v>146</v>
      </c>
      <c r="J41" s="18" t="s">
        <v>110</v>
      </c>
      <c r="K41" s="18" t="s">
        <v>298</v>
      </c>
      <c r="L41" s="18"/>
    </row>
    <row r="42" customFormat="false" ht="15" hidden="false" customHeight="false" outlineLevel="0" collapsed="false">
      <c r="A42" s="18" t="s">
        <v>299</v>
      </c>
      <c r="B42" s="18" t="s">
        <v>287</v>
      </c>
      <c r="C42" s="18" t="s">
        <v>300</v>
      </c>
      <c r="D42" s="18" t="s">
        <v>301</v>
      </c>
      <c r="E42" s="18" t="s">
        <v>53</v>
      </c>
      <c r="F42" s="18" t="s">
        <v>184</v>
      </c>
      <c r="G42" s="18" t="s">
        <v>133</v>
      </c>
      <c r="H42" s="21" t="s">
        <v>17</v>
      </c>
      <c r="I42" s="18" t="s">
        <v>302</v>
      </c>
      <c r="J42" s="18" t="s">
        <v>110</v>
      </c>
      <c r="K42" s="18" t="s">
        <v>69</v>
      </c>
      <c r="L42" s="18"/>
    </row>
    <row r="43" customFormat="false" ht="15" hidden="false" customHeight="false" outlineLevel="0" collapsed="false">
      <c r="A43" s="18" t="s">
        <v>303</v>
      </c>
      <c r="B43" s="18" t="s">
        <v>287</v>
      </c>
      <c r="C43" s="18" t="s">
        <v>304</v>
      </c>
      <c r="D43" s="18" t="s">
        <v>305</v>
      </c>
      <c r="E43" s="18" t="s">
        <v>53</v>
      </c>
      <c r="F43" s="18" t="s">
        <v>184</v>
      </c>
      <c r="G43" s="18" t="s">
        <v>133</v>
      </c>
      <c r="H43" s="22" t="s">
        <v>19</v>
      </c>
      <c r="I43" s="18" t="s">
        <v>146</v>
      </c>
      <c r="J43" s="18" t="s">
        <v>110</v>
      </c>
      <c r="K43" s="18" t="s">
        <v>69</v>
      </c>
      <c r="L43" s="18"/>
    </row>
    <row r="44" customFormat="false" ht="15" hidden="false" customHeight="false" outlineLevel="0" collapsed="false">
      <c r="A44" s="18" t="s">
        <v>306</v>
      </c>
      <c r="B44" s="18" t="s">
        <v>287</v>
      </c>
      <c r="C44" s="18" t="s">
        <v>307</v>
      </c>
      <c r="D44" s="18" t="s">
        <v>308</v>
      </c>
      <c r="E44" s="18" t="s">
        <v>53</v>
      </c>
      <c r="F44" s="18" t="s">
        <v>108</v>
      </c>
      <c r="G44" s="18" t="s">
        <v>69</v>
      </c>
      <c r="H44" s="22" t="s">
        <v>19</v>
      </c>
      <c r="I44" s="18" t="s">
        <v>146</v>
      </c>
      <c r="J44" s="18" t="s">
        <v>110</v>
      </c>
      <c r="K44" s="18" t="s">
        <v>309</v>
      </c>
      <c r="L44" s="18"/>
    </row>
    <row r="45" customFormat="false" ht="15" hidden="false" customHeight="false" outlineLevel="0" collapsed="false">
      <c r="A45" s="18" t="s">
        <v>310</v>
      </c>
      <c r="B45" s="18" t="s">
        <v>287</v>
      </c>
      <c r="C45" s="18" t="s">
        <v>311</v>
      </c>
      <c r="D45" s="18" t="s">
        <v>312</v>
      </c>
      <c r="E45" s="18" t="s">
        <v>53</v>
      </c>
      <c r="F45" s="18" t="s">
        <v>313</v>
      </c>
      <c r="G45" s="18" t="s">
        <v>133</v>
      </c>
      <c r="H45" s="22" t="s">
        <v>19</v>
      </c>
      <c r="I45" s="18" t="s">
        <v>146</v>
      </c>
      <c r="J45" s="18" t="s">
        <v>110</v>
      </c>
      <c r="K45" s="18" t="s">
        <v>314</v>
      </c>
      <c r="L45" s="18"/>
    </row>
    <row r="46" customFormat="false" ht="15" hidden="false" customHeight="false" outlineLevel="0" collapsed="false">
      <c r="A46" s="18" t="s">
        <v>315</v>
      </c>
      <c r="B46" s="18" t="s">
        <v>316</v>
      </c>
      <c r="C46" s="18" t="s">
        <v>317</v>
      </c>
      <c r="D46" s="18" t="s">
        <v>293</v>
      </c>
      <c r="E46" s="18" t="s">
        <v>318</v>
      </c>
      <c r="F46" s="18" t="s">
        <v>108</v>
      </c>
      <c r="G46" s="18" t="s">
        <v>69</v>
      </c>
      <c r="H46" s="22" t="s">
        <v>19</v>
      </c>
      <c r="I46" s="18" t="s">
        <v>294</v>
      </c>
      <c r="J46" s="18" t="s">
        <v>110</v>
      </c>
      <c r="K46" s="18" t="s">
        <v>69</v>
      </c>
      <c r="L46" s="18" t="s">
        <v>319</v>
      </c>
    </row>
    <row r="47" customFormat="false" ht="15" hidden="false" customHeight="false" outlineLevel="0" collapsed="false">
      <c r="A47" s="18" t="s">
        <v>320</v>
      </c>
      <c r="B47" s="18" t="s">
        <v>316</v>
      </c>
      <c r="C47" s="18" t="s">
        <v>321</v>
      </c>
      <c r="D47" s="18" t="s">
        <v>322</v>
      </c>
      <c r="E47" s="18" t="s">
        <v>318</v>
      </c>
      <c r="F47" s="18" t="s">
        <v>313</v>
      </c>
      <c r="G47" s="18" t="s">
        <v>133</v>
      </c>
      <c r="H47" s="22" t="s">
        <v>19</v>
      </c>
      <c r="I47" s="18" t="s">
        <v>294</v>
      </c>
      <c r="J47" s="18" t="s">
        <v>110</v>
      </c>
      <c r="K47" s="18" t="s">
        <v>323</v>
      </c>
      <c r="L47" s="18"/>
    </row>
    <row r="48" customFormat="false" ht="15" hidden="false" customHeight="false" outlineLevel="0" collapsed="false">
      <c r="A48" s="18" t="s">
        <v>324</v>
      </c>
      <c r="B48" s="18" t="s">
        <v>316</v>
      </c>
      <c r="C48" s="18" t="s">
        <v>325</v>
      </c>
      <c r="D48" s="18" t="s">
        <v>326</v>
      </c>
      <c r="E48" s="18" t="s">
        <v>327</v>
      </c>
      <c r="F48" s="18" t="s">
        <v>328</v>
      </c>
      <c r="G48" s="18" t="s">
        <v>69</v>
      </c>
      <c r="H48" s="22" t="s">
        <v>19</v>
      </c>
      <c r="I48" s="18" t="s">
        <v>146</v>
      </c>
      <c r="J48" s="18" t="s">
        <v>110</v>
      </c>
      <c r="K48" s="18" t="s">
        <v>69</v>
      </c>
      <c r="L48" s="18"/>
    </row>
    <row r="49" customFormat="false" ht="23.85" hidden="false" customHeight="false" outlineLevel="0" collapsed="false">
      <c r="A49" s="18" t="s">
        <v>329</v>
      </c>
      <c r="B49" s="18" t="s">
        <v>316</v>
      </c>
      <c r="C49" s="18" t="s">
        <v>330</v>
      </c>
      <c r="D49" s="18" t="s">
        <v>331</v>
      </c>
      <c r="E49" s="18" t="s">
        <v>327</v>
      </c>
      <c r="F49" s="18" t="s">
        <v>184</v>
      </c>
      <c r="G49" s="18" t="s">
        <v>133</v>
      </c>
      <c r="H49" s="22" t="s">
        <v>19</v>
      </c>
      <c r="I49" s="18" t="s">
        <v>209</v>
      </c>
      <c r="J49" s="18" t="s">
        <v>110</v>
      </c>
      <c r="K49" s="18" t="s">
        <v>332</v>
      </c>
      <c r="L49" s="18" t="s">
        <v>333</v>
      </c>
    </row>
    <row r="50" customFormat="false" ht="23.85" hidden="false" customHeight="false" outlineLevel="0" collapsed="false">
      <c r="A50" s="18" t="s">
        <v>334</v>
      </c>
      <c r="B50" s="18" t="s">
        <v>316</v>
      </c>
      <c r="C50" s="18" t="s">
        <v>335</v>
      </c>
      <c r="D50" s="18" t="s">
        <v>336</v>
      </c>
      <c r="E50" s="18" t="s">
        <v>327</v>
      </c>
      <c r="F50" s="18" t="s">
        <v>236</v>
      </c>
      <c r="G50" s="18" t="s">
        <v>237</v>
      </c>
      <c r="H50" s="24" t="s">
        <v>15</v>
      </c>
      <c r="I50" s="18" t="s">
        <v>337</v>
      </c>
      <c r="J50" s="18" t="s">
        <v>110</v>
      </c>
      <c r="K50" s="18" t="s">
        <v>69</v>
      </c>
      <c r="L50" s="18" t="s">
        <v>338</v>
      </c>
    </row>
    <row r="51" customFormat="false" ht="15" hidden="false" customHeight="false" outlineLevel="0" collapsed="false">
      <c r="A51" s="18" t="s">
        <v>339</v>
      </c>
      <c r="B51" s="18" t="s">
        <v>316</v>
      </c>
      <c r="C51" s="18" t="s">
        <v>340</v>
      </c>
      <c r="D51" s="18" t="s">
        <v>341</v>
      </c>
      <c r="E51" s="18" t="s">
        <v>327</v>
      </c>
      <c r="F51" s="18" t="s">
        <v>184</v>
      </c>
      <c r="G51" s="18" t="s">
        <v>133</v>
      </c>
      <c r="H51" s="21" t="s">
        <v>17</v>
      </c>
      <c r="I51" s="18" t="s">
        <v>342</v>
      </c>
      <c r="J51" s="18" t="s">
        <v>121</v>
      </c>
      <c r="K51" s="18" t="s">
        <v>69</v>
      </c>
      <c r="L51" s="18"/>
    </row>
    <row r="52" customFormat="false" ht="15" hidden="false" customHeight="false" outlineLevel="0" collapsed="false">
      <c r="A52" s="18" t="s">
        <v>343</v>
      </c>
      <c r="B52" s="18" t="s">
        <v>316</v>
      </c>
      <c r="C52" s="18" t="s">
        <v>344</v>
      </c>
      <c r="D52" s="18" t="s">
        <v>345</v>
      </c>
      <c r="E52" s="18" t="s">
        <v>327</v>
      </c>
      <c r="F52" s="18" t="s">
        <v>108</v>
      </c>
      <c r="G52" s="18" t="s">
        <v>69</v>
      </c>
      <c r="H52" s="22" t="s">
        <v>19</v>
      </c>
      <c r="I52" s="18" t="s">
        <v>146</v>
      </c>
      <c r="J52" s="18" t="s">
        <v>121</v>
      </c>
      <c r="K52" s="18" t="s">
        <v>346</v>
      </c>
      <c r="L52" s="18"/>
    </row>
    <row r="53" customFormat="false" ht="15" hidden="false" customHeight="false" outlineLevel="0" collapsed="false">
      <c r="A53" s="18" t="s">
        <v>347</v>
      </c>
      <c r="B53" s="18" t="s">
        <v>316</v>
      </c>
      <c r="C53" s="18" t="s">
        <v>348</v>
      </c>
      <c r="D53" s="18" t="s">
        <v>349</v>
      </c>
      <c r="E53" s="18" t="s">
        <v>327</v>
      </c>
      <c r="F53" s="18" t="s">
        <v>108</v>
      </c>
      <c r="G53" s="18" t="s">
        <v>69</v>
      </c>
      <c r="H53" s="22" t="s">
        <v>19</v>
      </c>
      <c r="I53" s="18" t="s">
        <v>146</v>
      </c>
      <c r="J53" s="18" t="s">
        <v>121</v>
      </c>
      <c r="K53" s="18" t="s">
        <v>350</v>
      </c>
      <c r="L53" s="18"/>
    </row>
    <row r="54" customFormat="false" ht="15" hidden="false" customHeight="false" outlineLevel="0" collapsed="false">
      <c r="A54" s="18" t="s">
        <v>351</v>
      </c>
      <c r="B54" s="18" t="s">
        <v>352</v>
      </c>
      <c r="C54" s="18" t="s">
        <v>353</v>
      </c>
      <c r="D54" s="18" t="s">
        <v>354</v>
      </c>
      <c r="E54" s="18" t="s">
        <v>65</v>
      </c>
      <c r="F54" s="18" t="s">
        <v>108</v>
      </c>
      <c r="G54" s="18" t="s">
        <v>69</v>
      </c>
      <c r="H54" s="22" t="s">
        <v>19</v>
      </c>
      <c r="I54" s="18" t="s">
        <v>146</v>
      </c>
      <c r="J54" s="18" t="s">
        <v>110</v>
      </c>
      <c r="K54" s="18" t="s">
        <v>355</v>
      </c>
      <c r="L54" s="18" t="s">
        <v>356</v>
      </c>
    </row>
    <row r="55" customFormat="false" ht="15" hidden="false" customHeight="false" outlineLevel="0" collapsed="false">
      <c r="A55" s="18" t="s">
        <v>357</v>
      </c>
      <c r="B55" s="18" t="s">
        <v>352</v>
      </c>
      <c r="C55" s="18" t="s">
        <v>358</v>
      </c>
      <c r="D55" s="18" t="s">
        <v>359</v>
      </c>
      <c r="E55" s="18" t="s">
        <v>65</v>
      </c>
      <c r="F55" s="18" t="s">
        <v>108</v>
      </c>
      <c r="G55" s="18" t="s">
        <v>69</v>
      </c>
      <c r="H55" s="21" t="s">
        <v>17</v>
      </c>
      <c r="I55" s="18" t="s">
        <v>120</v>
      </c>
      <c r="J55" s="18" t="s">
        <v>110</v>
      </c>
      <c r="K55" s="18" t="s">
        <v>69</v>
      </c>
      <c r="L55" s="18"/>
    </row>
    <row r="56" customFormat="false" ht="15" hidden="false" customHeight="false" outlineLevel="0" collapsed="false">
      <c r="A56" s="18" t="s">
        <v>360</v>
      </c>
      <c r="B56" s="18" t="s">
        <v>352</v>
      </c>
      <c r="C56" s="18" t="s">
        <v>361</v>
      </c>
      <c r="D56" s="18" t="s">
        <v>362</v>
      </c>
      <c r="E56" s="18" t="s">
        <v>65</v>
      </c>
      <c r="F56" s="18" t="s">
        <v>132</v>
      </c>
      <c r="G56" s="18" t="s">
        <v>133</v>
      </c>
      <c r="H56" s="21" t="s">
        <v>17</v>
      </c>
      <c r="I56" s="18" t="s">
        <v>120</v>
      </c>
      <c r="J56" s="18" t="s">
        <v>110</v>
      </c>
      <c r="K56" s="18" t="s">
        <v>69</v>
      </c>
      <c r="L56" s="18"/>
    </row>
    <row r="57" customFormat="false" ht="15" hidden="false" customHeight="false" outlineLevel="0" collapsed="false">
      <c r="A57" s="18" t="s">
        <v>363</v>
      </c>
      <c r="B57" s="18" t="s">
        <v>352</v>
      </c>
      <c r="C57" s="18" t="s">
        <v>364</v>
      </c>
      <c r="D57" s="18" t="s">
        <v>365</v>
      </c>
      <c r="E57" s="18" t="s">
        <v>65</v>
      </c>
      <c r="F57" s="18" t="s">
        <v>108</v>
      </c>
      <c r="G57" s="18" t="s">
        <v>69</v>
      </c>
      <c r="H57" s="22" t="s">
        <v>19</v>
      </c>
      <c r="I57" s="18" t="s">
        <v>146</v>
      </c>
      <c r="J57" s="18" t="s">
        <v>110</v>
      </c>
      <c r="K57" s="18" t="s">
        <v>366</v>
      </c>
      <c r="L57" s="18" t="s">
        <v>367</v>
      </c>
    </row>
    <row r="58" customFormat="false" ht="15" hidden="false" customHeight="false" outlineLevel="0" collapsed="false">
      <c r="A58" s="18" t="s">
        <v>368</v>
      </c>
      <c r="B58" s="18" t="s">
        <v>352</v>
      </c>
      <c r="C58" s="18" t="s">
        <v>369</v>
      </c>
      <c r="D58" s="18" t="s">
        <v>370</v>
      </c>
      <c r="E58" s="18" t="s">
        <v>65</v>
      </c>
      <c r="F58" s="18" t="s">
        <v>132</v>
      </c>
      <c r="G58" s="18" t="s">
        <v>133</v>
      </c>
      <c r="H58" s="21" t="s">
        <v>17</v>
      </c>
      <c r="I58" s="18" t="s">
        <v>371</v>
      </c>
      <c r="J58" s="18" t="s">
        <v>110</v>
      </c>
      <c r="K58" s="18" t="s">
        <v>69</v>
      </c>
      <c r="L58" s="18" t="s">
        <v>372</v>
      </c>
    </row>
    <row r="59" customFormat="false" ht="23.85" hidden="false" customHeight="false" outlineLevel="0" collapsed="false">
      <c r="A59" s="18" t="s">
        <v>373</v>
      </c>
      <c r="B59" s="18" t="s">
        <v>352</v>
      </c>
      <c r="C59" s="18" t="s">
        <v>374</v>
      </c>
      <c r="D59" s="18" t="s">
        <v>375</v>
      </c>
      <c r="E59" s="18" t="s">
        <v>65</v>
      </c>
      <c r="F59" s="18" t="s">
        <v>184</v>
      </c>
      <c r="G59" s="18" t="s">
        <v>133</v>
      </c>
      <c r="H59" s="22" t="s">
        <v>19</v>
      </c>
      <c r="I59" s="18" t="s">
        <v>376</v>
      </c>
      <c r="J59" s="18" t="s">
        <v>110</v>
      </c>
      <c r="K59" s="18" t="s">
        <v>377</v>
      </c>
      <c r="L59" s="18" t="s">
        <v>378</v>
      </c>
    </row>
    <row r="60" customFormat="false" ht="15" hidden="false" customHeight="false" outlineLevel="0" collapsed="false">
      <c r="A60" s="18" t="s">
        <v>379</v>
      </c>
      <c r="B60" s="18" t="s">
        <v>352</v>
      </c>
      <c r="C60" s="18" t="s">
        <v>380</v>
      </c>
      <c r="D60" s="18" t="s">
        <v>381</v>
      </c>
      <c r="E60" s="18" t="s">
        <v>65</v>
      </c>
      <c r="F60" s="18" t="s">
        <v>236</v>
      </c>
      <c r="G60" s="18" t="s">
        <v>237</v>
      </c>
      <c r="H60" s="22" t="s">
        <v>19</v>
      </c>
      <c r="I60" s="18" t="s">
        <v>146</v>
      </c>
      <c r="J60" s="18" t="s">
        <v>110</v>
      </c>
      <c r="K60" s="18" t="s">
        <v>231</v>
      </c>
      <c r="L60" s="18"/>
    </row>
    <row r="61" customFormat="false" ht="15" hidden="false" customHeight="false" outlineLevel="0" collapsed="false">
      <c r="A61" s="18" t="s">
        <v>382</v>
      </c>
      <c r="B61" s="18" t="s">
        <v>352</v>
      </c>
      <c r="C61" s="18" t="s">
        <v>383</v>
      </c>
      <c r="D61" s="18" t="s">
        <v>283</v>
      </c>
      <c r="E61" s="18" t="s">
        <v>65</v>
      </c>
      <c r="F61" s="18" t="s">
        <v>108</v>
      </c>
      <c r="G61" s="18" t="s">
        <v>69</v>
      </c>
      <c r="H61" s="22" t="s">
        <v>19</v>
      </c>
      <c r="I61" s="18" t="s">
        <v>146</v>
      </c>
      <c r="J61" s="18" t="s">
        <v>110</v>
      </c>
      <c r="K61" s="18" t="s">
        <v>69</v>
      </c>
      <c r="L61" s="18" t="s">
        <v>384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24"/>
    <col collapsed="false" customWidth="true" hidden="false" outlineLevel="0" max="4" min="4" style="0" width="15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4" hidden="false" customHeight="true" outlineLevel="0" collapsed="false">
      <c r="A1" s="15" t="s">
        <v>385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386</v>
      </c>
      <c r="B3" s="17" t="s">
        <v>387</v>
      </c>
      <c r="C3" s="17" t="s">
        <v>388</v>
      </c>
      <c r="D3" s="17" t="s">
        <v>389</v>
      </c>
      <c r="E3" s="17" t="s">
        <v>390</v>
      </c>
      <c r="F3" s="17" t="s">
        <v>103</v>
      </c>
    </row>
    <row r="4" customFormat="false" ht="15" hidden="false" customHeight="false" outlineLevel="0" collapsed="false">
      <c r="A4" s="18" t="s">
        <v>391</v>
      </c>
      <c r="B4" s="18" t="s">
        <v>114</v>
      </c>
      <c r="C4" s="18" t="s">
        <v>47</v>
      </c>
      <c r="D4" s="18" t="s">
        <v>78</v>
      </c>
      <c r="E4" s="18" t="s">
        <v>69</v>
      </c>
      <c r="F4" s="18" t="s">
        <v>392</v>
      </c>
    </row>
    <row r="5" customFormat="false" ht="15" hidden="false" customHeight="false" outlineLevel="0" collapsed="false">
      <c r="A5" s="18" t="s">
        <v>118</v>
      </c>
      <c r="B5" s="18" t="s">
        <v>119</v>
      </c>
      <c r="C5" s="18" t="s">
        <v>47</v>
      </c>
      <c r="D5" s="18" t="s">
        <v>78</v>
      </c>
      <c r="E5" s="18" t="s">
        <v>69</v>
      </c>
      <c r="F5" s="18"/>
    </row>
    <row r="6" customFormat="false" ht="15" hidden="false" customHeight="false" outlineLevel="0" collapsed="false">
      <c r="A6" s="18" t="s">
        <v>124</v>
      </c>
      <c r="B6" s="18" t="s">
        <v>125</v>
      </c>
      <c r="C6" s="18" t="s">
        <v>47</v>
      </c>
      <c r="D6" s="18" t="s">
        <v>78</v>
      </c>
      <c r="E6" s="18" t="s">
        <v>69</v>
      </c>
      <c r="F6" s="18" t="s">
        <v>393</v>
      </c>
    </row>
    <row r="7" customFormat="false" ht="15" hidden="false" customHeight="false" outlineLevel="0" collapsed="false">
      <c r="A7" s="18" t="s">
        <v>394</v>
      </c>
      <c r="B7" s="18" t="s">
        <v>131</v>
      </c>
      <c r="C7" s="18" t="s">
        <v>47</v>
      </c>
      <c r="D7" s="18" t="s">
        <v>78</v>
      </c>
      <c r="E7" s="18" t="s">
        <v>69</v>
      </c>
      <c r="F7" s="18" t="s">
        <v>395</v>
      </c>
    </row>
    <row r="8" customFormat="false" ht="15" hidden="false" customHeight="false" outlineLevel="0" collapsed="false">
      <c r="A8" s="18" t="s">
        <v>396</v>
      </c>
      <c r="B8" s="18" t="s">
        <v>397</v>
      </c>
      <c r="C8" s="18" t="s">
        <v>262</v>
      </c>
      <c r="D8" s="18" t="s">
        <v>78</v>
      </c>
      <c r="E8" s="18" t="s">
        <v>69</v>
      </c>
      <c r="F8" s="18" t="s">
        <v>398</v>
      </c>
    </row>
    <row r="9" customFormat="false" ht="23.85" hidden="false" customHeight="false" outlineLevel="0" collapsed="false">
      <c r="A9" s="18" t="s">
        <v>399</v>
      </c>
      <c r="B9" s="18" t="s">
        <v>400</v>
      </c>
      <c r="C9" s="18" t="s">
        <v>47</v>
      </c>
      <c r="D9" s="18" t="s">
        <v>78</v>
      </c>
      <c r="E9" s="18" t="s">
        <v>69</v>
      </c>
      <c r="F9" s="18" t="s">
        <v>401</v>
      </c>
    </row>
    <row r="10" customFormat="false" ht="15" hidden="false" customHeight="false" outlineLevel="0" collapsed="false">
      <c r="A10" s="18" t="s">
        <v>402</v>
      </c>
      <c r="B10" s="18" t="s">
        <v>151</v>
      </c>
      <c r="C10" s="18" t="s">
        <v>47</v>
      </c>
      <c r="D10" s="18" t="s">
        <v>78</v>
      </c>
      <c r="E10" s="18" t="s">
        <v>69</v>
      </c>
      <c r="F10" s="18" t="s">
        <v>403</v>
      </c>
    </row>
    <row r="11" customFormat="false" ht="15" hidden="false" customHeight="false" outlineLevel="0" collapsed="false">
      <c r="A11" s="18" t="s">
        <v>404</v>
      </c>
      <c r="B11" s="18" t="s">
        <v>405</v>
      </c>
      <c r="C11" s="18" t="s">
        <v>318</v>
      </c>
      <c r="D11" s="18" t="s">
        <v>78</v>
      </c>
      <c r="E11" s="18" t="s">
        <v>69</v>
      </c>
      <c r="F11" s="18" t="s">
        <v>406</v>
      </c>
    </row>
    <row r="12" customFormat="false" ht="15" hidden="false" customHeight="false" outlineLevel="0" collapsed="false">
      <c r="A12" s="18" t="s">
        <v>407</v>
      </c>
      <c r="B12" s="18" t="s">
        <v>408</v>
      </c>
      <c r="C12" s="18" t="s">
        <v>409</v>
      </c>
      <c r="D12" s="18" t="s">
        <v>78</v>
      </c>
      <c r="E12" s="18" t="s">
        <v>69</v>
      </c>
      <c r="F12" s="18" t="s">
        <v>410</v>
      </c>
    </row>
    <row r="13" customFormat="false" ht="15" hidden="false" customHeight="false" outlineLevel="0" collapsed="false">
      <c r="A13" s="18" t="s">
        <v>411</v>
      </c>
      <c r="B13" s="18" t="s">
        <v>381</v>
      </c>
      <c r="C13" s="18" t="s">
        <v>47</v>
      </c>
      <c r="D13" s="18" t="s">
        <v>69</v>
      </c>
      <c r="E13" s="18" t="s">
        <v>78</v>
      </c>
      <c r="F13" s="18" t="s">
        <v>412</v>
      </c>
    </row>
    <row r="14" customFormat="false" ht="15" hidden="false" customHeight="false" outlineLevel="0" collapsed="false">
      <c r="A14" s="18" t="s">
        <v>413</v>
      </c>
      <c r="B14" s="18" t="s">
        <v>414</v>
      </c>
      <c r="C14" s="18" t="s">
        <v>262</v>
      </c>
      <c r="D14" s="18" t="s">
        <v>69</v>
      </c>
      <c r="E14" s="18" t="s">
        <v>78</v>
      </c>
      <c r="F14" s="18" t="s">
        <v>412</v>
      </c>
    </row>
    <row r="15" customFormat="false" ht="15" hidden="false" customHeight="false" outlineLevel="0" collapsed="false">
      <c r="A15" s="18" t="s">
        <v>415</v>
      </c>
      <c r="B15" s="18" t="s">
        <v>283</v>
      </c>
      <c r="C15" s="18" t="s">
        <v>47</v>
      </c>
      <c r="D15" s="18" t="s">
        <v>69</v>
      </c>
      <c r="E15" s="18" t="s">
        <v>78</v>
      </c>
      <c r="F15" s="18" t="s">
        <v>416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26"/>
    <col collapsed="false" customWidth="true" hidden="false" outlineLevel="0" max="5" min="5" style="0" width="32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34"/>
  </cols>
  <sheetData>
    <row r="1" customFormat="false" ht="24" hidden="false" customHeight="true" outlineLevel="0" collapsed="false">
      <c r="A1" s="15" t="s">
        <v>417</v>
      </c>
      <c r="B1" s="15"/>
      <c r="C1" s="15"/>
      <c r="D1" s="15"/>
      <c r="E1" s="15"/>
      <c r="F1" s="15"/>
      <c r="G1" s="15"/>
      <c r="H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  <c r="G2" s="16"/>
      <c r="H2" s="16"/>
    </row>
    <row r="3" customFormat="false" ht="30" hidden="false" customHeight="true" outlineLevel="0" collapsed="false">
      <c r="A3" s="17" t="s">
        <v>418</v>
      </c>
      <c r="B3" s="17" t="s">
        <v>419</v>
      </c>
      <c r="C3" s="17" t="s">
        <v>420</v>
      </c>
      <c r="D3" s="17" t="s">
        <v>421</v>
      </c>
      <c r="E3" s="17" t="s">
        <v>422</v>
      </c>
      <c r="F3" s="17" t="s">
        <v>423</v>
      </c>
      <c r="G3" s="17" t="s">
        <v>424</v>
      </c>
      <c r="H3" s="17" t="s">
        <v>425</v>
      </c>
    </row>
    <row r="4" customFormat="false" ht="23.85" hidden="false" customHeight="false" outlineLevel="0" collapsed="false">
      <c r="A4" s="18" t="s">
        <v>104</v>
      </c>
      <c r="B4" s="18" t="s">
        <v>426</v>
      </c>
      <c r="C4" s="18" t="s">
        <v>427</v>
      </c>
      <c r="D4" s="18" t="s">
        <v>428</v>
      </c>
      <c r="E4" s="18" t="s">
        <v>429</v>
      </c>
      <c r="F4" s="18" t="s">
        <v>430</v>
      </c>
      <c r="G4" s="18" t="s">
        <v>431</v>
      </c>
      <c r="H4" s="18" t="s">
        <v>432</v>
      </c>
    </row>
    <row r="5" customFormat="false" ht="23.85" hidden="false" customHeight="false" outlineLevel="0" collapsed="false">
      <c r="A5" s="18" t="s">
        <v>112</v>
      </c>
      <c r="B5" s="18" t="s">
        <v>433</v>
      </c>
      <c r="C5" s="18" t="s">
        <v>427</v>
      </c>
      <c r="D5" s="18" t="s">
        <v>434</v>
      </c>
      <c r="E5" s="18" t="s">
        <v>435</v>
      </c>
      <c r="F5" s="18" t="s">
        <v>436</v>
      </c>
      <c r="G5" s="18" t="s">
        <v>437</v>
      </c>
      <c r="H5" s="18" t="s">
        <v>438</v>
      </c>
    </row>
    <row r="6" customFormat="false" ht="15" hidden="false" customHeight="false" outlineLevel="0" collapsed="false">
      <c r="A6" s="18" t="s">
        <v>117</v>
      </c>
      <c r="B6" s="18" t="s">
        <v>433</v>
      </c>
      <c r="C6" s="18" t="s">
        <v>427</v>
      </c>
      <c r="D6" s="18" t="s">
        <v>439</v>
      </c>
      <c r="E6" s="18" t="s">
        <v>440</v>
      </c>
      <c r="F6" s="18" t="s">
        <v>436</v>
      </c>
      <c r="G6" s="18" t="s">
        <v>437</v>
      </c>
      <c r="H6" s="18" t="s">
        <v>438</v>
      </c>
    </row>
    <row r="7" customFormat="false" ht="15" hidden="false" customHeight="false" outlineLevel="0" collapsed="false">
      <c r="A7" s="18" t="s">
        <v>123</v>
      </c>
      <c r="B7" s="18" t="s">
        <v>433</v>
      </c>
      <c r="C7" s="18" t="s">
        <v>427</v>
      </c>
      <c r="D7" s="18" t="s">
        <v>439</v>
      </c>
      <c r="E7" s="18" t="s">
        <v>440</v>
      </c>
      <c r="F7" s="18" t="s">
        <v>436</v>
      </c>
      <c r="G7" s="18" t="s">
        <v>437</v>
      </c>
      <c r="H7" s="18" t="s">
        <v>438</v>
      </c>
    </row>
    <row r="8" customFormat="false" ht="23.85" hidden="false" customHeight="false" outlineLevel="0" collapsed="false">
      <c r="A8" s="18" t="s">
        <v>129</v>
      </c>
      <c r="B8" s="18" t="s">
        <v>441</v>
      </c>
      <c r="C8" s="18" t="s">
        <v>442</v>
      </c>
      <c r="D8" s="18" t="s">
        <v>443</v>
      </c>
      <c r="E8" s="18" t="s">
        <v>444</v>
      </c>
      <c r="F8" s="18" t="s">
        <v>445</v>
      </c>
      <c r="G8" s="18" t="s">
        <v>431</v>
      </c>
      <c r="H8" s="18" t="s">
        <v>446</v>
      </c>
    </row>
    <row r="9" customFormat="false" ht="23.85" hidden="false" customHeight="false" outlineLevel="0" collapsed="false">
      <c r="A9" s="18" t="s">
        <v>136</v>
      </c>
      <c r="B9" s="18" t="s">
        <v>447</v>
      </c>
      <c r="C9" s="18" t="s">
        <v>448</v>
      </c>
      <c r="D9" s="18" t="s">
        <v>449</v>
      </c>
      <c r="E9" s="18" t="s">
        <v>450</v>
      </c>
      <c r="F9" s="18" t="s">
        <v>445</v>
      </c>
      <c r="G9" s="18" t="s">
        <v>431</v>
      </c>
      <c r="H9" s="18" t="s">
        <v>438</v>
      </c>
    </row>
    <row r="10" customFormat="false" ht="23.85" hidden="false" customHeight="false" outlineLevel="0" collapsed="false">
      <c r="A10" s="18" t="s">
        <v>142</v>
      </c>
      <c r="B10" s="18" t="s">
        <v>451</v>
      </c>
      <c r="C10" s="18" t="s">
        <v>452</v>
      </c>
      <c r="D10" s="18" t="s">
        <v>443</v>
      </c>
      <c r="E10" s="18" t="s">
        <v>453</v>
      </c>
      <c r="F10" s="18" t="s">
        <v>445</v>
      </c>
      <c r="G10" s="18" t="s">
        <v>437</v>
      </c>
      <c r="H10" s="18" t="s">
        <v>438</v>
      </c>
    </row>
    <row r="11" customFormat="false" ht="57.45" hidden="false" customHeight="false" outlineLevel="0" collapsed="false">
      <c r="A11" s="19" t="s">
        <v>454</v>
      </c>
      <c r="B11" s="19" t="s">
        <v>455</v>
      </c>
      <c r="C11" s="19"/>
      <c r="D11" s="19"/>
      <c r="E11" s="19"/>
      <c r="F11" s="19"/>
      <c r="G11" s="19"/>
      <c r="H11" s="19"/>
    </row>
    <row r="12" customFormat="false" ht="91" hidden="false" customHeight="false" outlineLevel="0" collapsed="false">
      <c r="A12" s="19" t="s">
        <v>456</v>
      </c>
      <c r="B12" s="19" t="s">
        <v>457</v>
      </c>
      <c r="C12" s="19"/>
      <c r="D12" s="19"/>
      <c r="E12" s="19"/>
      <c r="F12" s="19"/>
      <c r="G12" s="19"/>
      <c r="H12" s="1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6"/>
    <col collapsed="false" customWidth="true" hidden="false" outlineLevel="0" max="4" min="3" style="0" width="24"/>
    <col collapsed="false" customWidth="true" hidden="false" outlineLevel="0" max="6" min="5" style="0" width="22"/>
  </cols>
  <sheetData>
    <row r="1" customFormat="false" ht="24" hidden="false" customHeight="true" outlineLevel="0" collapsed="false">
      <c r="A1" s="15" t="s">
        <v>458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459</v>
      </c>
      <c r="B3" s="17" t="s">
        <v>460</v>
      </c>
      <c r="C3" s="17" t="s">
        <v>461</v>
      </c>
      <c r="D3" s="17" t="s">
        <v>462</v>
      </c>
      <c r="E3" s="17" t="s">
        <v>463</v>
      </c>
      <c r="F3" s="17" t="s">
        <v>464</v>
      </c>
    </row>
    <row r="4" customFormat="false" ht="15" hidden="false" customHeight="false" outlineLevel="0" collapsed="false">
      <c r="A4" s="18" t="s">
        <v>465</v>
      </c>
      <c r="B4" s="18" t="s">
        <v>466</v>
      </c>
      <c r="C4" s="18" t="s">
        <v>467</v>
      </c>
      <c r="D4" s="18" t="s">
        <v>468</v>
      </c>
      <c r="E4" s="18" t="s">
        <v>469</v>
      </c>
      <c r="F4" s="18" t="s">
        <v>470</v>
      </c>
    </row>
    <row r="5" customFormat="false" ht="15" hidden="false" customHeight="false" outlineLevel="0" collapsed="false">
      <c r="A5" s="18" t="s">
        <v>471</v>
      </c>
      <c r="B5" s="18" t="s">
        <v>472</v>
      </c>
      <c r="C5" s="18" t="s">
        <v>473</v>
      </c>
      <c r="D5" s="18" t="s">
        <v>474</v>
      </c>
      <c r="E5" s="18" t="s">
        <v>475</v>
      </c>
      <c r="F5" s="18" t="s">
        <v>476</v>
      </c>
    </row>
    <row r="6" customFormat="false" ht="15" hidden="false" customHeight="false" outlineLevel="0" collapsed="false">
      <c r="A6" s="18" t="s">
        <v>477</v>
      </c>
      <c r="B6" s="18" t="s">
        <v>478</v>
      </c>
      <c r="C6" s="18" t="s">
        <v>479</v>
      </c>
      <c r="D6" s="18" t="s">
        <v>480</v>
      </c>
      <c r="E6" s="18" t="s">
        <v>481</v>
      </c>
      <c r="F6" s="18" t="s">
        <v>482</v>
      </c>
    </row>
    <row r="7" customFormat="false" ht="15" hidden="false" customHeight="false" outlineLevel="0" collapsed="false">
      <c r="A7" s="18" t="s">
        <v>483</v>
      </c>
      <c r="B7" s="18" t="s">
        <v>484</v>
      </c>
      <c r="C7" s="18" t="s">
        <v>485</v>
      </c>
      <c r="D7" s="18" t="s">
        <v>486</v>
      </c>
      <c r="E7" s="18" t="s">
        <v>487</v>
      </c>
      <c r="F7" s="18" t="s">
        <v>488</v>
      </c>
    </row>
    <row r="8" customFormat="false" ht="15" hidden="false" customHeight="false" outlineLevel="0" collapsed="false">
      <c r="A8" s="18" t="s">
        <v>489</v>
      </c>
      <c r="B8" s="18" t="s">
        <v>490</v>
      </c>
      <c r="C8" s="18" t="s">
        <v>491</v>
      </c>
      <c r="D8" s="18" t="s">
        <v>492</v>
      </c>
      <c r="E8" s="18" t="s">
        <v>493</v>
      </c>
      <c r="F8" s="18" t="s">
        <v>487</v>
      </c>
    </row>
    <row r="9" customFormat="false" ht="15" hidden="false" customHeight="false" outlineLevel="0" collapsed="false">
      <c r="A9" s="18" t="s">
        <v>494</v>
      </c>
      <c r="B9" s="18" t="s">
        <v>495</v>
      </c>
      <c r="C9" s="18" t="s">
        <v>496</v>
      </c>
      <c r="D9" s="18" t="s">
        <v>497</v>
      </c>
      <c r="E9" s="18" t="s">
        <v>498</v>
      </c>
      <c r="F9" s="18" t="s">
        <v>487</v>
      </c>
    </row>
    <row r="10" customFormat="false" ht="15" hidden="false" customHeight="false" outlineLevel="0" collapsed="false">
      <c r="A10" s="18" t="s">
        <v>499</v>
      </c>
      <c r="B10" s="18" t="s">
        <v>500</v>
      </c>
      <c r="C10" s="18" t="s">
        <v>501</v>
      </c>
      <c r="D10" s="18" t="s">
        <v>502</v>
      </c>
      <c r="E10" s="18" t="s">
        <v>503</v>
      </c>
      <c r="F10" s="18" t="s">
        <v>504</v>
      </c>
    </row>
    <row r="11" customFormat="false" ht="15" hidden="false" customHeight="false" outlineLevel="0" collapsed="false">
      <c r="A11" s="18" t="s">
        <v>505</v>
      </c>
      <c r="B11" s="18" t="s">
        <v>506</v>
      </c>
      <c r="C11" s="18" t="s">
        <v>507</v>
      </c>
      <c r="D11" s="18" t="s">
        <v>508</v>
      </c>
      <c r="E11" s="18" t="s">
        <v>509</v>
      </c>
      <c r="F11" s="18" t="s">
        <v>510</v>
      </c>
    </row>
    <row r="12" customFormat="false" ht="180.55" hidden="false" customHeight="false" outlineLevel="0" collapsed="false">
      <c r="A12" s="19" t="s">
        <v>511</v>
      </c>
      <c r="B12" s="19" t="s">
        <v>512</v>
      </c>
      <c r="C12" s="19"/>
      <c r="D12" s="19"/>
      <c r="E12" s="19"/>
      <c r="F12" s="19"/>
      <c r="G12" s="1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4" min="3" style="0" width="26"/>
    <col collapsed="false" customWidth="true" hidden="false" outlineLevel="0" max="5" min="5" style="0" width="22"/>
    <col collapsed="false" customWidth="true" hidden="false" outlineLevel="0" max="6" min="6" style="0" width="30"/>
  </cols>
  <sheetData>
    <row r="1" customFormat="false" ht="24" hidden="false" customHeight="true" outlineLevel="0" collapsed="false">
      <c r="A1" s="15" t="s">
        <v>513</v>
      </c>
      <c r="B1" s="15"/>
      <c r="C1" s="15"/>
      <c r="D1" s="15"/>
      <c r="E1" s="15"/>
      <c r="F1" s="15"/>
    </row>
    <row r="2" customFormat="false" ht="15" hidden="false" customHeight="false" outlineLevel="0" collapsed="false">
      <c r="A2" s="16" t="s">
        <v>34</v>
      </c>
      <c r="B2" s="16"/>
      <c r="C2" s="16"/>
      <c r="D2" s="16"/>
      <c r="E2" s="16"/>
      <c r="F2" s="16"/>
    </row>
    <row r="3" customFormat="false" ht="30" hidden="false" customHeight="true" outlineLevel="0" collapsed="false">
      <c r="A3" s="17" t="s">
        <v>514</v>
      </c>
      <c r="B3" s="17" t="s">
        <v>515</v>
      </c>
      <c r="C3" s="17" t="s">
        <v>516</v>
      </c>
      <c r="D3" s="17" t="s">
        <v>517</v>
      </c>
      <c r="E3" s="17" t="s">
        <v>518</v>
      </c>
      <c r="F3" s="17" t="s">
        <v>519</v>
      </c>
    </row>
    <row r="4" customFormat="false" ht="35.05" hidden="false" customHeight="false" outlineLevel="0" collapsed="false">
      <c r="A4" s="18" t="s">
        <v>520</v>
      </c>
      <c r="B4" s="18" t="s">
        <v>521</v>
      </c>
      <c r="C4" s="18" t="s">
        <v>522</v>
      </c>
      <c r="D4" s="18" t="s">
        <v>523</v>
      </c>
      <c r="E4" s="18" t="s">
        <v>523</v>
      </c>
      <c r="F4" s="18" t="s">
        <v>524</v>
      </c>
    </row>
    <row r="5" customFormat="false" ht="15" hidden="false" customHeight="false" outlineLevel="0" collapsed="false">
      <c r="A5" s="18" t="s">
        <v>525</v>
      </c>
      <c r="B5" s="18" t="s">
        <v>526</v>
      </c>
      <c r="C5" s="18" t="s">
        <v>527</v>
      </c>
      <c r="D5" s="18" t="s">
        <v>528</v>
      </c>
      <c r="E5" s="18" t="s">
        <v>526</v>
      </c>
      <c r="F5" s="18" t="s">
        <v>527</v>
      </c>
    </row>
    <row r="6" customFormat="false" ht="15" hidden="false" customHeight="false" outlineLevel="0" collapsed="false">
      <c r="A6" s="18" t="s">
        <v>529</v>
      </c>
      <c r="B6" s="18" t="s">
        <v>526</v>
      </c>
      <c r="C6" s="18" t="s">
        <v>527</v>
      </c>
      <c r="D6" s="18" t="s">
        <v>528</v>
      </c>
      <c r="E6" s="18" t="s">
        <v>526</v>
      </c>
      <c r="F6" s="18" t="s">
        <v>527</v>
      </c>
    </row>
    <row r="7" customFormat="false" ht="15" hidden="false" customHeight="false" outlineLevel="0" collapsed="false">
      <c r="A7" s="18" t="s">
        <v>530</v>
      </c>
      <c r="B7" s="18" t="s">
        <v>526</v>
      </c>
      <c r="C7" s="18" t="s">
        <v>527</v>
      </c>
      <c r="D7" s="18" t="s">
        <v>528</v>
      </c>
      <c r="E7" s="18" t="s">
        <v>526</v>
      </c>
      <c r="F7" s="18" t="s">
        <v>527</v>
      </c>
    </row>
    <row r="8" customFormat="false" ht="15" hidden="false" customHeight="false" outlineLevel="0" collapsed="false">
      <c r="A8" s="18" t="s">
        <v>531</v>
      </c>
      <c r="B8" s="18" t="s">
        <v>526</v>
      </c>
      <c r="C8" s="18" t="s">
        <v>527</v>
      </c>
      <c r="D8" s="18" t="s">
        <v>528</v>
      </c>
      <c r="E8" s="18" t="s">
        <v>526</v>
      </c>
      <c r="F8" s="18" t="s">
        <v>527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3" min="3" style="0" width="54"/>
  </cols>
  <sheetData>
    <row r="1" customFormat="false" ht="24" hidden="false" customHeight="true" outlineLevel="0" collapsed="false">
      <c r="A1" s="15" t="s">
        <v>532</v>
      </c>
      <c r="B1" s="15"/>
      <c r="C1" s="15"/>
    </row>
    <row r="2" customFormat="false" ht="15" hidden="false" customHeight="false" outlineLevel="0" collapsed="false">
      <c r="A2" s="16" t="s">
        <v>34</v>
      </c>
      <c r="B2" s="16"/>
      <c r="C2" s="16"/>
    </row>
    <row r="3" customFormat="false" ht="30" hidden="false" customHeight="true" outlineLevel="0" collapsed="false">
      <c r="A3" s="17" t="s">
        <v>533</v>
      </c>
      <c r="B3" s="17" t="s">
        <v>534</v>
      </c>
      <c r="C3" s="17" t="s">
        <v>535</v>
      </c>
    </row>
    <row r="4" customFormat="false" ht="15" hidden="false" customHeight="false" outlineLevel="0" collapsed="false">
      <c r="A4" s="18" t="s">
        <v>536</v>
      </c>
      <c r="B4" s="18" t="s">
        <v>537</v>
      </c>
      <c r="C4" s="18" t="s">
        <v>538</v>
      </c>
    </row>
    <row r="5" customFormat="false" ht="15" hidden="false" customHeight="false" outlineLevel="0" collapsed="false">
      <c r="A5" s="18" t="s">
        <v>536</v>
      </c>
      <c r="B5" s="18" t="s">
        <v>539</v>
      </c>
      <c r="C5" s="18" t="s">
        <v>540</v>
      </c>
    </row>
    <row r="6" customFormat="false" ht="15" hidden="false" customHeight="false" outlineLevel="0" collapsed="false">
      <c r="A6" s="18" t="s">
        <v>536</v>
      </c>
      <c r="B6" s="18" t="s">
        <v>541</v>
      </c>
      <c r="C6" s="18" t="s">
        <v>542</v>
      </c>
    </row>
    <row r="7" customFormat="false" ht="15" hidden="false" customHeight="false" outlineLevel="0" collapsed="false">
      <c r="A7" s="18" t="s">
        <v>536</v>
      </c>
      <c r="B7" s="18" t="s">
        <v>543</v>
      </c>
      <c r="C7" s="18" t="s">
        <v>544</v>
      </c>
    </row>
    <row r="8" customFormat="false" ht="15" hidden="false" customHeight="false" outlineLevel="0" collapsed="false">
      <c r="A8" s="18" t="s">
        <v>536</v>
      </c>
      <c r="B8" s="18" t="s">
        <v>545</v>
      </c>
      <c r="C8" s="18" t="s">
        <v>546</v>
      </c>
    </row>
    <row r="9" customFormat="false" ht="15" hidden="false" customHeight="false" outlineLevel="0" collapsed="false">
      <c r="A9" s="18" t="s">
        <v>536</v>
      </c>
      <c r="B9" s="18" t="s">
        <v>547</v>
      </c>
      <c r="C9" s="18" t="s">
        <v>548</v>
      </c>
    </row>
    <row r="10" customFormat="false" ht="15" hidden="false" customHeight="false" outlineLevel="0" collapsed="false">
      <c r="A10" s="18" t="s">
        <v>536</v>
      </c>
      <c r="B10" s="18" t="s">
        <v>549</v>
      </c>
      <c r="C10" s="18" t="s">
        <v>550</v>
      </c>
    </row>
    <row r="11" customFormat="false" ht="15" hidden="false" customHeight="false" outlineLevel="0" collapsed="false">
      <c r="A11" s="18" t="s">
        <v>536</v>
      </c>
      <c r="B11" s="18" t="s">
        <v>551</v>
      </c>
      <c r="C11" s="18" t="s">
        <v>552</v>
      </c>
    </row>
    <row r="12" customFormat="false" ht="15" hidden="false" customHeight="false" outlineLevel="0" collapsed="false">
      <c r="A12" s="18" t="s">
        <v>536</v>
      </c>
      <c r="B12" s="18" t="s">
        <v>553</v>
      </c>
      <c r="C12" s="18" t="s">
        <v>554</v>
      </c>
    </row>
    <row r="13" customFormat="false" ht="15" hidden="false" customHeight="false" outlineLevel="0" collapsed="false">
      <c r="A13" s="18" t="s">
        <v>536</v>
      </c>
      <c r="B13" s="18" t="s">
        <v>555</v>
      </c>
      <c r="C13" s="18" t="s">
        <v>556</v>
      </c>
    </row>
    <row r="14" customFormat="false" ht="15" hidden="false" customHeight="false" outlineLevel="0" collapsed="false">
      <c r="A14" s="18" t="s">
        <v>536</v>
      </c>
      <c r="B14" s="18" t="s">
        <v>557</v>
      </c>
      <c r="C14" s="18" t="s">
        <v>556</v>
      </c>
    </row>
    <row r="15" customFormat="false" ht="15" hidden="false" customHeight="false" outlineLevel="0" collapsed="false">
      <c r="A15" s="18" t="s">
        <v>536</v>
      </c>
      <c r="B15" s="18" t="s">
        <v>558</v>
      </c>
      <c r="C15" s="18" t="s">
        <v>559</v>
      </c>
    </row>
    <row r="16" customFormat="false" ht="15" hidden="false" customHeight="false" outlineLevel="0" collapsed="false">
      <c r="A16" s="19" t="s">
        <v>560</v>
      </c>
      <c r="B16" s="19"/>
      <c r="C16" s="19" t="s">
        <v>561</v>
      </c>
    </row>
    <row r="17" customFormat="false" ht="15" hidden="false" customHeight="false" outlineLevel="0" collapsed="false">
      <c r="A17" s="18" t="s">
        <v>562</v>
      </c>
      <c r="B17" s="18" t="s">
        <v>563</v>
      </c>
      <c r="C17" s="18" t="s">
        <v>564</v>
      </c>
    </row>
    <row r="18" customFormat="false" ht="15" hidden="false" customHeight="false" outlineLevel="0" collapsed="false">
      <c r="A18" s="18" t="s">
        <v>562</v>
      </c>
      <c r="B18" s="18" t="s">
        <v>565</v>
      </c>
      <c r="C18" s="18" t="s">
        <v>566</v>
      </c>
    </row>
    <row r="19" customFormat="false" ht="15" hidden="false" customHeight="false" outlineLevel="0" collapsed="false">
      <c r="A19" s="18" t="s">
        <v>562</v>
      </c>
      <c r="B19" s="18" t="s">
        <v>567</v>
      </c>
      <c r="C19" s="18" t="s">
        <v>568</v>
      </c>
    </row>
    <row r="20" customFormat="false" ht="15" hidden="false" customHeight="false" outlineLevel="0" collapsed="false">
      <c r="A20" s="18" t="s">
        <v>562</v>
      </c>
      <c r="B20" s="18" t="s">
        <v>569</v>
      </c>
      <c r="C20" s="18" t="s">
        <v>570</v>
      </c>
    </row>
    <row r="21" customFormat="false" ht="23.85" hidden="false" customHeight="false" outlineLevel="0" collapsed="false">
      <c r="A21" s="18" t="s">
        <v>571</v>
      </c>
      <c r="B21" s="18" t="s">
        <v>572</v>
      </c>
      <c r="C21" s="18" t="s">
        <v>573</v>
      </c>
    </row>
    <row r="22" customFormat="false" ht="23.85" hidden="false" customHeight="false" outlineLevel="0" collapsed="false">
      <c r="A22" s="18" t="s">
        <v>574</v>
      </c>
      <c r="B22" s="18" t="s">
        <v>575</v>
      </c>
      <c r="C22" s="18" t="s">
        <v>576</v>
      </c>
    </row>
    <row r="23" customFormat="false" ht="23.85" hidden="false" customHeight="false" outlineLevel="0" collapsed="false">
      <c r="A23" s="18" t="s">
        <v>577</v>
      </c>
      <c r="B23" s="18" t="s">
        <v>578</v>
      </c>
      <c r="C23" s="18" t="s">
        <v>579</v>
      </c>
    </row>
    <row r="24" customFormat="false" ht="15" hidden="false" customHeight="false" outlineLevel="0" collapsed="false">
      <c r="A24" s="18" t="s">
        <v>580</v>
      </c>
      <c r="B24" s="18" t="s">
        <v>581</v>
      </c>
      <c r="C24" s="18" t="s">
        <v>582</v>
      </c>
    </row>
    <row r="25" customFormat="false" ht="15" hidden="false" customHeight="false" outlineLevel="0" collapsed="false">
      <c r="A25" s="18" t="s">
        <v>580</v>
      </c>
      <c r="B25" s="18" t="s">
        <v>583</v>
      </c>
      <c r="C25" s="18" t="s">
        <v>584</v>
      </c>
    </row>
    <row r="26" customFormat="false" ht="15" hidden="false" customHeight="false" outlineLevel="0" collapsed="false">
      <c r="A26" s="18" t="s">
        <v>580</v>
      </c>
      <c r="B26" s="18" t="s">
        <v>585</v>
      </c>
      <c r="C26" s="18" t="s">
        <v>586</v>
      </c>
    </row>
    <row r="27" customFormat="false" ht="15" hidden="false" customHeight="false" outlineLevel="0" collapsed="false">
      <c r="A27" s="18" t="s">
        <v>580</v>
      </c>
      <c r="B27" s="18" t="s">
        <v>587</v>
      </c>
      <c r="C27" s="18" t="s">
        <v>588</v>
      </c>
    </row>
    <row r="28" customFormat="false" ht="23.85" hidden="false" customHeight="false" outlineLevel="0" collapsed="false">
      <c r="A28" s="18" t="s">
        <v>589</v>
      </c>
      <c r="B28" s="18" t="s">
        <v>590</v>
      </c>
      <c r="C28" s="18" t="s">
        <v>591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26"/>
    <col collapsed="false" customWidth="true" hidden="false" outlineLevel="0" max="4" min="4" style="0" width="72"/>
  </cols>
  <sheetData>
    <row r="1" customFormat="false" ht="24" hidden="false" customHeight="true" outlineLevel="0" collapsed="false">
      <c r="A1" s="15" t="s">
        <v>592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593</v>
      </c>
      <c r="B3" s="17" t="s">
        <v>100</v>
      </c>
      <c r="C3" s="17" t="s">
        <v>594</v>
      </c>
      <c r="D3" s="17" t="s">
        <v>595</v>
      </c>
    </row>
    <row r="4" customFormat="false" ht="15" hidden="false" customHeight="false" outlineLevel="0" collapsed="false">
      <c r="A4" s="18" t="s">
        <v>596</v>
      </c>
      <c r="B4" s="18" t="s">
        <v>597</v>
      </c>
      <c r="C4" s="18" t="s">
        <v>598</v>
      </c>
      <c r="D4" s="18" t="s">
        <v>599</v>
      </c>
    </row>
    <row r="5" customFormat="false" ht="15" hidden="false" customHeight="false" outlineLevel="0" collapsed="false">
      <c r="A5" s="18" t="s">
        <v>600</v>
      </c>
      <c r="B5" s="18" t="s">
        <v>601</v>
      </c>
      <c r="C5" s="18" t="s">
        <v>418</v>
      </c>
      <c r="D5" s="18" t="s">
        <v>602</v>
      </c>
    </row>
    <row r="6" customFormat="false" ht="23.85" hidden="false" customHeight="false" outlineLevel="0" collapsed="false">
      <c r="A6" s="18" t="s">
        <v>603</v>
      </c>
      <c r="B6" s="18" t="s">
        <v>604</v>
      </c>
      <c r="C6" s="18" t="s">
        <v>605</v>
      </c>
      <c r="D6" s="18" t="s">
        <v>606</v>
      </c>
    </row>
    <row r="7" customFormat="false" ht="15" hidden="false" customHeight="false" outlineLevel="0" collapsed="false">
      <c r="A7" s="18" t="s">
        <v>607</v>
      </c>
      <c r="B7" s="18" t="s">
        <v>608</v>
      </c>
      <c r="C7" s="18" t="s">
        <v>609</v>
      </c>
      <c r="D7" s="18" t="s">
        <v>610</v>
      </c>
    </row>
    <row r="8" customFormat="false" ht="23.85" hidden="false" customHeight="false" outlineLevel="0" collapsed="false">
      <c r="A8" s="18" t="s">
        <v>611</v>
      </c>
      <c r="B8" s="18" t="s">
        <v>612</v>
      </c>
      <c r="C8" s="18" t="s">
        <v>613</v>
      </c>
      <c r="D8" s="18" t="s">
        <v>614</v>
      </c>
    </row>
    <row r="9" customFormat="false" ht="23.85" hidden="false" customHeight="false" outlineLevel="0" collapsed="false">
      <c r="A9" s="18" t="s">
        <v>615</v>
      </c>
      <c r="B9" s="18" t="s">
        <v>616</v>
      </c>
      <c r="C9" s="18" t="s">
        <v>617</v>
      </c>
      <c r="D9" s="18" t="s">
        <v>618</v>
      </c>
    </row>
    <row r="10" customFormat="false" ht="23.85" hidden="false" customHeight="false" outlineLevel="0" collapsed="false">
      <c r="A10" s="18" t="s">
        <v>619</v>
      </c>
      <c r="B10" s="18" t="s">
        <v>620</v>
      </c>
      <c r="C10" s="18" t="s">
        <v>621</v>
      </c>
      <c r="D10" s="18" t="s">
        <v>622</v>
      </c>
    </row>
    <row r="11" customFormat="false" ht="35.05" hidden="false" customHeight="false" outlineLevel="0" collapsed="false">
      <c r="A11" s="18" t="s">
        <v>623</v>
      </c>
      <c r="B11" s="18" t="s">
        <v>69</v>
      </c>
      <c r="C11" s="18" t="s">
        <v>69</v>
      </c>
      <c r="D11" s="18" t="s">
        <v>624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8"/>
    <col collapsed="false" customWidth="true" hidden="false" outlineLevel="0" max="3" min="3" style="0" width="42"/>
    <col collapsed="false" customWidth="true" hidden="false" outlineLevel="0" max="4" min="4" style="0" width="24"/>
  </cols>
  <sheetData>
    <row r="1" customFormat="false" ht="24" hidden="false" customHeight="true" outlineLevel="0" collapsed="false">
      <c r="A1" s="15" t="s">
        <v>625</v>
      </c>
      <c r="B1" s="15"/>
      <c r="C1" s="15"/>
      <c r="D1" s="15"/>
    </row>
    <row r="2" customFormat="false" ht="15" hidden="false" customHeight="false" outlineLevel="0" collapsed="false">
      <c r="A2" s="16" t="s">
        <v>34</v>
      </c>
      <c r="B2" s="16"/>
      <c r="C2" s="16"/>
      <c r="D2" s="16"/>
    </row>
    <row r="3" customFormat="false" ht="30" hidden="false" customHeight="true" outlineLevel="0" collapsed="false">
      <c r="A3" s="17" t="s">
        <v>626</v>
      </c>
      <c r="B3" s="17" t="s">
        <v>627</v>
      </c>
      <c r="C3" s="17" t="s">
        <v>628</v>
      </c>
      <c r="D3" s="17" t="s">
        <v>629</v>
      </c>
    </row>
    <row r="4" customFormat="false" ht="15" hidden="false" customHeight="false" outlineLevel="0" collapsed="false">
      <c r="A4" s="18" t="s">
        <v>630</v>
      </c>
      <c r="B4" s="18" t="s">
        <v>631</v>
      </c>
      <c r="C4" s="18" t="s">
        <v>632</v>
      </c>
      <c r="D4" s="18" t="s">
        <v>633</v>
      </c>
    </row>
    <row r="5" customFormat="false" ht="15" hidden="false" customHeight="false" outlineLevel="0" collapsed="false">
      <c r="A5" s="18" t="s">
        <v>634</v>
      </c>
      <c r="B5" s="18" t="s">
        <v>635</v>
      </c>
      <c r="C5" s="18" t="s">
        <v>636</v>
      </c>
      <c r="D5" s="18" t="s">
        <v>637</v>
      </c>
    </row>
    <row r="6" customFormat="false" ht="15" hidden="false" customHeight="false" outlineLevel="0" collapsed="false">
      <c r="A6" s="18" t="s">
        <v>638</v>
      </c>
      <c r="B6" s="18" t="s">
        <v>639</v>
      </c>
      <c r="C6" s="18" t="s">
        <v>640</v>
      </c>
      <c r="D6" s="18" t="s">
        <v>641</v>
      </c>
    </row>
    <row r="7" customFormat="false" ht="23.85" hidden="false" customHeight="false" outlineLevel="0" collapsed="false">
      <c r="A7" s="18" t="s">
        <v>642</v>
      </c>
      <c r="B7" s="18" t="s">
        <v>643</v>
      </c>
      <c r="C7" s="18" t="s">
        <v>644</v>
      </c>
      <c r="D7" s="18" t="s">
        <v>645</v>
      </c>
    </row>
    <row r="8" customFormat="false" ht="15" hidden="false" customHeight="false" outlineLevel="0" collapsed="false">
      <c r="A8" s="18" t="s">
        <v>646</v>
      </c>
      <c r="B8" s="18" t="s">
        <v>647</v>
      </c>
      <c r="C8" s="18" t="s">
        <v>648</v>
      </c>
      <c r="D8" s="18" t="s">
        <v>649</v>
      </c>
    </row>
    <row r="9" customFormat="false" ht="15" hidden="false" customHeight="false" outlineLevel="0" collapsed="false">
      <c r="A9" s="18" t="s">
        <v>650</v>
      </c>
      <c r="B9" s="18" t="s">
        <v>651</v>
      </c>
      <c r="C9" s="18" t="s">
        <v>652</v>
      </c>
      <c r="D9" s="18" t="s">
        <v>653</v>
      </c>
    </row>
    <row r="10" customFormat="false" ht="15" hidden="false" customHeight="false" outlineLevel="0" collapsed="false">
      <c r="A10" s="18" t="s">
        <v>654</v>
      </c>
      <c r="B10" s="18" t="s">
        <v>655</v>
      </c>
      <c r="C10" s="18" t="s">
        <v>656</v>
      </c>
      <c r="D10" s="18" t="s">
        <v>657</v>
      </c>
    </row>
    <row r="11" customFormat="false" ht="15" hidden="false" customHeight="false" outlineLevel="0" collapsed="false">
      <c r="A11" s="18" t="s">
        <v>658</v>
      </c>
      <c r="B11" s="18" t="s">
        <v>659</v>
      </c>
      <c r="C11" s="18" t="s">
        <v>660</v>
      </c>
      <c r="D11" s="18" t="s">
        <v>661</v>
      </c>
    </row>
    <row r="12" customFormat="false" ht="15" hidden="false" customHeight="false" outlineLevel="0" collapsed="false">
      <c r="A12" s="18" t="s">
        <v>662</v>
      </c>
      <c r="B12" s="18" t="s">
        <v>663</v>
      </c>
      <c r="C12" s="18" t="s">
        <v>664</v>
      </c>
      <c r="D12" s="18" t="s">
        <v>649</v>
      </c>
    </row>
    <row r="13" customFormat="false" ht="15" hidden="false" customHeight="false" outlineLevel="0" collapsed="false">
      <c r="A13" s="18" t="s">
        <v>665</v>
      </c>
      <c r="B13" s="18" t="s">
        <v>666</v>
      </c>
      <c r="C13" s="18" t="s">
        <v>667</v>
      </c>
      <c r="D13" s="18" t="s">
        <v>649</v>
      </c>
    </row>
    <row r="14" customFormat="false" ht="15" hidden="false" customHeight="false" outlineLevel="0" collapsed="false">
      <c r="A14" s="18" t="s">
        <v>668</v>
      </c>
      <c r="B14" s="18" t="s">
        <v>669</v>
      </c>
      <c r="C14" s="18" t="s">
        <v>670</v>
      </c>
      <c r="D14" s="18" t="s">
        <v>671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2026-09-19T19:14:39Z</dcterms:created>
  <dc:creator>openpyxl</dc:creator>
  <dc:description/>
  <dc:language>en-US</dc:language>
  <cp:lastModifiedBy/>
  <dcterms:modified xsi:type="dcterms:W3CDTF">2026-09-19T19:14:39Z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