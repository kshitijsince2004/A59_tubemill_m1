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Sheet Map" sheetId="2" state="visible" r:id="rId4"/>
    <sheet name="Field Register" sheetId="3" state="visible" r:id="rId5"/>
    <sheet name="ERP-WO Fields" sheetId="4" state="visible" r:id="rId6"/>
    <sheet name="PLC Tag Map" sheetId="5" state="visible" r:id="rId7"/>
    <sheet name="TM-02 Param Window" sheetId="6" state="visible" r:id="rId8"/>
    <sheet name="TM-02 Tooling &amp; Fin" sheetId="7" state="visible" r:id="rId9"/>
    <sheet name="Codes &amp; Enums" sheetId="8" state="visible" r:id="rId10"/>
    <sheet name="Data Flow" sheetId="9" state="visible" r:id="rId11"/>
    <sheet name="Required Documen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<sst xmlns="http://schemas.openxmlformats.org/spreadsheetml/2006/main" count="2523" uniqueCount="1097">
  <si>
    <t xml:space="preserve">ZEDRAL  .  A-59 ERW TUBE MILL  .  M1 DATA MAPPING</t>
  </si>
  <si>
    <t xml:space="preserve">Goodluck India Limited . Sikandrabad Unit 2 . Tube mill only . v1.0 (organised around the plant's 5 shop-floor sheets)</t>
  </si>
  <si>
    <t xml:space="preserve">Purpose</t>
  </si>
  <si>
    <t xml:space="preserve">Single source of truth for M1 data capture on the A-59 tube mill: every field on the plant's shop-floor sheets mapped to its digital field, capture class, source and target table.</t>
  </si>
  <si>
    <t xml:space="preserve">The 5 sheets</t>
  </si>
  <si>
    <t xml:space="preserve">Setup approval report (+1 gate), Online process report, Production report, Downtime report, Online inspection report. Tabs follow this framing.</t>
  </si>
  <si>
    <t xml:space="preserve">Capture unit</t>
  </si>
  <si>
    <t xml:space="preserve">The production RUN (one mill, one setup, one size and grade, one or more work orders). Coils fan in, bundles fan out. Not the coil.</t>
  </si>
  <si>
    <t xml:space="preserve">Architecture</t>
  </si>
  <si>
    <t xml:space="preserve">PLC-first: a server-side collector reads the welder and line controls; the tablet confirms, enters manual values and clears exceptions. The sheets become views over one event stream.</t>
  </si>
  <si>
    <t xml:space="preserve">Key finding</t>
  </si>
  <si>
    <t xml:space="preserve">The welder (AB MicroLogix 1400 + Thermatool Weld-Manager) already exports 1-second data. Speed and power for the online process report are AUTO from that one controller today.</t>
  </si>
  <si>
    <t xml:space="preserve">Update 20 Sep 2026</t>
  </si>
  <si>
    <t xml:space="preserve">Formats folder received. TM-FT-05 (setup) and GLI-FT-QA-04 (online inspection) are now in hand, plus GLI-FT-PRD-TM-01 slit inspection. Sheets 1 and 5 flipped from referenced to in-hand; a 6th sheet (incoming slit inspection) added.</t>
  </si>
  <si>
    <t xml:space="preserve">LEGEND . capture class</t>
  </si>
  <si>
    <t xml:space="preserve">AUTO</t>
  </si>
  <si>
    <t xml:space="preserve">Machine reports it (PLC / welder SCADA / saw counter). No typing.</t>
  </si>
  <si>
    <t xml:space="preserve">DERIVED</t>
  </si>
  <si>
    <t xml:space="preserve">Pre-filled from the work order (ERP) or the TM-02 chart. Operator confirms.</t>
  </si>
  <si>
    <t xml:space="preserve">MANUAL</t>
  </si>
  <si>
    <t xml:space="preserve">Operator measures or judges it.</t>
  </si>
  <si>
    <t xml:space="preserve">MASTER</t>
  </si>
  <si>
    <t xml:space="preserve">One-time reference / master data.</t>
  </si>
  <si>
    <t xml:space="preserve">SYSTEM</t>
  </si>
  <si>
    <t xml:space="preserve">Generated by the platform (ids, rollups, timestamps).</t>
  </si>
  <si>
    <t xml:space="preserve">Tabs</t>
  </si>
  <si>
    <t xml:space="preserve">Sheet Map | Field Register | ERP-WO Fields | PLC Tag Map | TM-02 Param Window | TM-02 Tooling &amp; Fin | Codes &amp; Enums | Data Flow | Required Documents</t>
  </si>
  <si>
    <t xml:space="preserve">Source docs</t>
  </si>
  <si>
    <t xml:space="preserve">TM-01 WI R18; TM-02 R18; TM-FT-02 R3; TM-FT-03 R2; TM-FT-04 R2; TM-FT-08 R0; GLI-FT-TM-11 R0; GLI-FT-TM-12 R1; A-59 PLC survey; welder SCADA exports (06 Sep 2026).</t>
  </si>
  <si>
    <t xml:space="preserve">House note</t>
  </si>
  <si>
    <t xml:space="preserve">All controlled copies under GLI-SOP-MR-01. Machine access for M1 is read-only, one direction.</t>
  </si>
  <si>
    <t xml:space="preserve">Field counts</t>
  </si>
  <si>
    <t xml:space="preserve">Total fields</t>
  </si>
  <si>
    <t xml:space="preserve">SHEET MAP . the 5 shop-floor sheets + supporting formats</t>
  </si>
  <si>
    <t xml:space="preserve">Zedral x Goodluck India (Sikandrabad Unit 2) . A-59 ERW Tube Mill . Module M1 (Data Capture)</t>
  </si>
  <si>
    <t xml:space="preserve">Plant sheet (your name)</t>
  </si>
  <si>
    <t xml:space="preserve">Format / doc no.</t>
  </si>
  <si>
    <t xml:space="preserve">Rev</t>
  </si>
  <si>
    <t xml:space="preserve">In hand?</t>
  </si>
  <si>
    <t xml:space="preserve">Nature</t>
  </si>
  <si>
    <t xml:space="preserve">Digital target table(s)</t>
  </si>
  <si>
    <t xml:space="preserve">Capture summary</t>
  </si>
  <si>
    <t xml:space="preserve">1. Setup approval report</t>
  </si>
  <si>
    <t xml:space="preserve">GLI-FT-PRD-TM-05 Mill Setup Parameter Sheet</t>
  </si>
  <si>
    <t xml:space="preserve">R1</t>
  </si>
  <si>
    <t xml:space="preserve">Yes (now in hand)</t>
  </si>
  <si>
    <t xml:space="preserve">Per-run gate (setup + first-off)</t>
  </si>
  <si>
    <t xml:space="preserve">txn.tm_setup</t>
  </si>
  <si>
    <t xml:space="preserve">Fin-pass rolls + first-off dims specified vs observed; tooling DERIVED; weld setup MANUAL; first-off gate MANUAL</t>
  </si>
  <si>
    <t xml:space="preserve">2. Online process report</t>
  </si>
  <si>
    <t xml:space="preserve">GLI-FT-PRD-TM-04 Mill Parameter Record</t>
  </si>
  <si>
    <t xml:space="preserve">R2</t>
  </si>
  <si>
    <t xml:space="preserve">Yes</t>
  </si>
  <si>
    <t xml:space="preserve">Hourly, running</t>
  </si>
  <si>
    <t xml:space="preserve">txn.prod_tm_param_snapshot (+ tm_setup)</t>
  </si>
  <si>
    <t xml:space="preserve">Speed + power AUTO (welder); tooling DERIVED; coolant/wiper/argon MANUAL</t>
  </si>
  <si>
    <t xml:space="preserve">3. Production report</t>
  </si>
  <si>
    <t xml:space="preserve">GLI-FT-PRD-TM-02 Daily Production Report</t>
  </si>
  <si>
    <t xml:space="preserve">R3</t>
  </si>
  <si>
    <t xml:space="preserve">Per work order</t>
  </si>
  <si>
    <t xml:space="preserve">txn.prod_tm_run + txn.prod_tm_bundle</t>
  </si>
  <si>
    <t xml:space="preserve">Piece count AUTO (COC); quality class MANUAL; weight DERIVED; totals + yield AUTO</t>
  </si>
  <si>
    <t xml:space="preserve">4. Downtime report</t>
  </si>
  <si>
    <t xml:space="preserve">GLI-FT-PRD-TM-03 Down Time Report</t>
  </si>
  <si>
    <t xml:space="preserve">Per stoppage</t>
  </si>
  <si>
    <t xml:space="preserve">txn.stoppage_entry</t>
  </si>
  <si>
    <t xml:space="preserve">Times AUTO (collector); reason + code MANUAL</t>
  </si>
  <si>
    <t xml:space="preserve">5. Online inspection report</t>
  </si>
  <si>
    <t xml:space="preserve">GLI-FT-QA-04 Online Quality Inspection Report at Tube Mill</t>
  </si>
  <si>
    <t xml:space="preserve">R4</t>
  </si>
  <si>
    <t xml:space="preserve">Running, QA (dims / weld / UT-ECT / surface)</t>
  </si>
  <si>
    <t xml:space="preserve">txn.tm_online_inspection</t>
  </si>
  <si>
    <t xml:space="preserve">Dimensions/weld/surface MANUAL; UT/ECT AUTO if tapped</t>
  </si>
  <si>
    <t xml:space="preserve">6. Slit inspection (incoming)</t>
  </si>
  <si>
    <t xml:space="preserve">GLI-FT-PRD-TM-01 Daily Slit Inspection Report</t>
  </si>
  <si>
    <t xml:space="preserve">Per slit at mill entry</t>
  </si>
  <si>
    <t xml:space="preserve">txn.prod_tm_coil_input</t>
  </si>
  <si>
    <t xml:space="preserve">Strip width + thickness start/mid/end MANUAL; hardness MANUAL</t>
  </si>
  <si>
    <t xml:space="preserve">--- supporting / context ---</t>
  </si>
  <si>
    <t xml:space="preserve">Work Instruction</t>
  </si>
  <si>
    <t xml:space="preserve">TM-01 (GLI-WI-PRD-TM-01)</t>
  </si>
  <si>
    <t xml:space="preserve">R18</t>
  </si>
  <si>
    <t xml:space="preserve">Process logic (setup, first-off, 4M, weld flow)</t>
  </si>
  <si>
    <t xml:space="preserve">Drives the gate + tooling logic</t>
  </si>
  <si>
    <t xml:space="preserve">Production parameters (master)</t>
  </si>
  <si>
    <t xml:space="preserve">TM-02 (GLI-WI-PRD51-TM-02)</t>
  </si>
  <si>
    <t xml:space="preserve">Size/grade -&gt; power window + tooling</t>
  </si>
  <si>
    <t xml:space="preserve">master.tm_param_chart</t>
  </si>
  <si>
    <t xml:space="preserve">Reference master (see TM-02 tabs)</t>
  </si>
  <si>
    <t xml:space="preserve">Work coil history card</t>
  </si>
  <si>
    <t xml:space="preserve">TM-FT-08</t>
  </si>
  <si>
    <t xml:space="preserve">R0</t>
  </si>
  <si>
    <t xml:space="preserve">Tooling life</t>
  </si>
  <si>
    <t xml:space="preserve">master.tm_consumable + txn.tm_consumable_usage</t>
  </si>
  <si>
    <t xml:space="preserve">Tonnage AUTO; inspection MANUAL</t>
  </si>
  <si>
    <t xml:space="preserve">Arc welding current</t>
  </si>
  <si>
    <t xml:space="preserve">GLI-FT-TM-11</t>
  </si>
  <si>
    <t xml:space="preserve">Referenced</t>
  </si>
  <si>
    <t xml:space="preserve">Strip-joint arc weld current</t>
  </si>
  <si>
    <t xml:space="preserve">txn.tm_arcweld_log</t>
  </si>
  <si>
    <t xml:space="preserve">AUTO if wired else MANUAL; feature-flagged</t>
  </si>
  <si>
    <t xml:space="preserve">Edge milling inspection (LDP)</t>
  </si>
  <si>
    <t xml:space="preserve">GLI-FT-TM-12</t>
  </si>
  <si>
    <t xml:space="preserve">Strip edge width before/after</t>
  </si>
  <si>
    <t xml:space="preserve">txn.prod_tm_edgemill</t>
  </si>
  <si>
    <t xml:space="preserve">Widths + condition MANUAL</t>
  </si>
  <si>
    <t xml:space="preserve">FIELD REGISTER . every field on the 5 sheets -&gt; digital target</t>
  </si>
  <si>
    <t xml:space="preserve">Field ID</t>
  </si>
  <si>
    <t xml:space="preserve">Sheet</t>
  </si>
  <si>
    <t xml:space="preserve">Paper field</t>
  </si>
  <si>
    <t xml:space="preserve">Canonical field (DB)</t>
  </si>
  <si>
    <t xml:space="preserve">Target schema.table</t>
  </si>
  <si>
    <t xml:space="preserve">Type</t>
  </si>
  <si>
    <t xml:space="preserve">Unit</t>
  </si>
  <si>
    <t xml:space="preserve">Class</t>
  </si>
  <si>
    <t xml:space="preserve">Source</t>
  </si>
  <si>
    <t xml:space="preserve">Req</t>
  </si>
  <si>
    <t xml:space="preserve">Validation / rule</t>
  </si>
  <si>
    <t xml:space="preserve">Notes</t>
  </si>
  <si>
    <t xml:space="preserve">RUN-01</t>
  </si>
  <si>
    <t xml:space="preserve">Run header</t>
  </si>
  <si>
    <t xml:space="preserve">Run number</t>
  </si>
  <si>
    <t xml:space="preserve">run_no</t>
  </si>
  <si>
    <t xml:space="preserve">txn.prod_tm_run</t>
  </si>
  <si>
    <t xml:space="preserve">text</t>
  </si>
  <si>
    <t xml:space="preserve">-</t>
  </si>
  <si>
    <t xml:space="preserve">mill + setup ts</t>
  </si>
  <si>
    <t xml:space="preserve">Y</t>
  </si>
  <si>
    <t xml:space="preserve">unique per tenant</t>
  </si>
  <si>
    <t xml:space="preserve">capture-unit id</t>
  </si>
  <si>
    <t xml:space="preserve">RUN-02</t>
  </si>
  <si>
    <t xml:space="preserve">Tube Mill No</t>
  </si>
  <si>
    <t xml:space="preserve">mill_code</t>
  </si>
  <si>
    <t xml:space="preserve">assignment / context</t>
  </si>
  <si>
    <t xml:space="preserve">FK master.machine</t>
  </si>
  <si>
    <t xml:space="preserve">A-59 first</t>
  </si>
  <si>
    <t xml:space="preserve">RUN-03</t>
  </si>
  <si>
    <t xml:space="preserve">W.O. No</t>
  </si>
  <si>
    <t xml:space="preserve">work_order_no</t>
  </si>
  <si>
    <t xml:space="preserve">work order (BC)</t>
  </si>
  <si>
    <t xml:space="preserve">dedup w/ batch</t>
  </si>
  <si>
    <t xml:space="preserve">queue card = 1 run</t>
  </si>
  <si>
    <t xml:space="preserve">RUN-04</t>
  </si>
  <si>
    <t xml:space="preserve">Batch number</t>
  </si>
  <si>
    <t xml:space="preserve">bc_batch_number</t>
  </si>
  <si>
    <t xml:space="preserve">N</t>
  </si>
  <si>
    <t xml:space="preserve">dedup key</t>
  </si>
  <si>
    <t xml:space="preserve">plan/journey merge</t>
  </si>
  <si>
    <t xml:space="preserve">RUN-05</t>
  </si>
  <si>
    <t xml:space="preserve">Customer</t>
  </si>
  <si>
    <t xml:space="preserve">customer_code</t>
  </si>
  <si>
    <t xml:space="preserve">FK master.customer</t>
  </si>
  <si>
    <t xml:space="preserve">RUN-06</t>
  </si>
  <si>
    <t xml:space="preserve">RM Grade / Source</t>
  </si>
  <si>
    <t xml:space="preserve">grade_code</t>
  </si>
  <si>
    <t xml:space="preserve">work order / coil</t>
  </si>
  <si>
    <t xml:space="preserve">FK master.grade</t>
  </si>
  <si>
    <t xml:space="preserve">also on coil input</t>
  </si>
  <si>
    <t xml:space="preserve">RUN-07</t>
  </si>
  <si>
    <t xml:space="preserve">Size (OD / Section)</t>
  </si>
  <si>
    <t xml:space="preserve">size (jsonb)</t>
  </si>
  <si>
    <t xml:space="preserve">json</t>
  </si>
  <si>
    <t xml:space="preserve">mm</t>
  </si>
  <si>
    <t xml:space="preserve">work order / TM-02</t>
  </si>
  <si>
    <t xml:space="preserve">round or section</t>
  </si>
  <si>
    <t xml:space="preserve">section -&gt; equiv OD</t>
  </si>
  <si>
    <t xml:space="preserve">RUN-08</t>
  </si>
  <si>
    <t xml:space="preserve">Thickness</t>
  </si>
  <si>
    <t xml:space="preserve">size.thkMm / swg</t>
  </si>
  <si>
    <t xml:space="preserve">number</t>
  </si>
  <si>
    <t xml:space="preserve">work order</t>
  </si>
  <si>
    <t xml:space="preserve">&gt;0</t>
  </si>
  <si>
    <t xml:space="preserve">mm + SWG</t>
  </si>
  <si>
    <t xml:space="preserve">RUN-09</t>
  </si>
  <si>
    <t xml:space="preserve">Length</t>
  </si>
  <si>
    <t xml:space="preserve">size.lengthMm</t>
  </si>
  <si>
    <t xml:space="preserve">RUN-10</t>
  </si>
  <si>
    <t xml:space="preserve">Shift</t>
  </si>
  <si>
    <t xml:space="preserve">shift_open_ref</t>
  </si>
  <si>
    <t xml:space="preserve">shift context</t>
  </si>
  <si>
    <t xml:space="preserve">FK master.shift</t>
  </si>
  <si>
    <t xml:space="preserve">run may span shifts</t>
  </si>
  <si>
    <t xml:space="preserve">RUN-11</t>
  </si>
  <si>
    <t xml:space="preserve">Date</t>
  </si>
  <si>
    <t xml:space="preserve">prod_date</t>
  </si>
  <si>
    <t xml:space="preserve">date</t>
  </si>
  <si>
    <t xml:space="preserve">shift</t>
  </si>
  <si>
    <t xml:space="preserve">COIL-01</t>
  </si>
  <si>
    <t xml:space="preserve">Run/coil feed</t>
  </si>
  <si>
    <t xml:space="preserve">Coil tag / slit no</t>
  </si>
  <si>
    <t xml:space="preserve">coil_tag</t>
  </si>
  <si>
    <t xml:space="preserve">operator scan</t>
  </si>
  <si>
    <t xml:space="preserve">input fan</t>
  </si>
  <si>
    <t xml:space="preserve">COIL-02</t>
  </si>
  <si>
    <t xml:space="preserve">Coil width</t>
  </si>
  <si>
    <t xml:space="preserve">width_mm</t>
  </si>
  <si>
    <t xml:space="preserve">coil master</t>
  </si>
  <si>
    <t xml:space="preserve">COIL-03</t>
  </si>
  <si>
    <t xml:space="preserve">Coil thickness</t>
  </si>
  <si>
    <t xml:space="preserve">thk_mm / swg</t>
  </si>
  <si>
    <t xml:space="preserve">COIL-04</t>
  </si>
  <si>
    <t xml:space="preserve">Grade / source</t>
  </si>
  <si>
    <t xml:space="preserve">grade_code / source</t>
  </si>
  <si>
    <t xml:space="preserve">COIL-05</t>
  </si>
  <si>
    <t xml:space="preserve">Input weight</t>
  </si>
  <si>
    <t xml:space="preserve">input_weight_kg</t>
  </si>
  <si>
    <t xml:space="preserve">Kg</t>
  </si>
  <si>
    <t xml:space="preserve">sum = raw_material_mt</t>
  </si>
  <si>
    <t xml:space="preserve">COIL-06</t>
  </si>
  <si>
    <t xml:space="preserve">Splice sequence</t>
  </si>
  <si>
    <t xml:space="preserve">splice_seq</t>
  </si>
  <si>
    <t xml:space="preserve">int</t>
  </si>
  <si>
    <t xml:space="preserve">order fed</t>
  </si>
  <si>
    <t xml:space="preserve">COIL-07</t>
  </si>
  <si>
    <t xml:space="preserve">Joint drill marker</t>
  </si>
  <si>
    <t xml:space="preserve">joint_marker</t>
  </si>
  <si>
    <t xml:space="preserve">bool</t>
  </si>
  <si>
    <t xml:space="preserve">welder</t>
  </si>
  <si>
    <t xml:space="preserve">ECT joint-tube scrap</t>
  </si>
  <si>
    <t xml:space="preserve">SET-01</t>
  </si>
  <si>
    <t xml:space="preserve">1 Setup approval</t>
  </si>
  <si>
    <t xml:space="preserve">Setup type</t>
  </si>
  <si>
    <t xml:space="preserve">setup_type</t>
  </si>
  <si>
    <t xml:space="preserve">enum</t>
  </si>
  <si>
    <t xml:space="preserve">operator</t>
  </si>
  <si>
    <t xml:space="preserve">INITIAL|REGULAR</t>
  </si>
  <si>
    <t xml:space="preserve">SET-02</t>
  </si>
  <si>
    <t xml:space="preserve">Reason</t>
  </si>
  <si>
    <t xml:space="preserve">reason</t>
  </si>
  <si>
    <t xml:space="preserve">NEW_PRODUCT|SIZE_CHANGE|SHIFT_CHANGE|POWER_FAILURE|BREAKDOWN|ROLL_CHANGE</t>
  </si>
  <si>
    <t xml:space="preserve">SET-03</t>
  </si>
  <si>
    <t xml:space="preserve">ID Tool size</t>
  </si>
  <si>
    <t xml:space="preserve">id_tool</t>
  </si>
  <si>
    <t xml:space="preserve">TM-02 chart</t>
  </si>
  <si>
    <t xml:space="preserve">confirm/override logged</t>
  </si>
  <si>
    <t xml:space="preserve">from tooling chart</t>
  </si>
  <si>
    <t xml:space="preserve">SET-04</t>
  </si>
  <si>
    <t xml:space="preserve">OD Tool size</t>
  </si>
  <si>
    <t xml:space="preserve">od_tool</t>
  </si>
  <si>
    <t xml:space="preserve">SET-05</t>
  </si>
  <si>
    <t xml:space="preserve">Boggie size</t>
  </si>
  <si>
    <t xml:space="preserve">boggie_size</t>
  </si>
  <si>
    <t xml:space="preserve">SET-06</t>
  </si>
  <si>
    <t xml:space="preserve">Impeder size</t>
  </si>
  <si>
    <t xml:space="preserve">impeder_size</t>
  </si>
  <si>
    <t xml:space="preserve">SET-07</t>
  </si>
  <si>
    <t xml:space="preserve">Ferrite rod</t>
  </si>
  <si>
    <t xml:space="preserve">ferrite_rod</t>
  </si>
  <si>
    <t xml:space="preserve">SET-08</t>
  </si>
  <si>
    <t xml:space="preserve">SS rod</t>
  </si>
  <si>
    <t xml:space="preserve">ss_rod</t>
  </si>
  <si>
    <t xml:space="preserve">SET-09</t>
  </si>
  <si>
    <t xml:space="preserve">Work coil ID</t>
  </si>
  <si>
    <t xml:space="preserve">work_coil_id</t>
  </si>
  <si>
    <t xml:space="preserve">TM-02 + consumable</t>
  </si>
  <si>
    <t xml:space="preserve">FK master.tm_consumable</t>
  </si>
  <si>
    <t xml:space="preserve">links tooling life</t>
  </si>
  <si>
    <t xml:space="preserve">SET-10</t>
  </si>
  <si>
    <t xml:space="preserve">Fin blade / seam guide</t>
  </si>
  <si>
    <t xml:space="preserve">fin_blade / seam_guide</t>
  </si>
  <si>
    <t xml:space="preserve">TM-02 fin table</t>
  </si>
  <si>
    <t xml:space="preserve">SET-11</t>
  </si>
  <si>
    <t xml:space="preserve">Weld dia</t>
  </si>
  <si>
    <t xml:space="preserve">weld_dia_mm</t>
  </si>
  <si>
    <t xml:space="preserve">TM-02 norm + measured</t>
  </si>
  <si>
    <t xml:space="preserve">per fin-pass table</t>
  </si>
  <si>
    <t xml:space="preserve">welder VEE data assists</t>
  </si>
  <si>
    <t xml:space="preserve">SET-12</t>
  </si>
  <si>
    <t xml:space="preserve">Distance WC to WR</t>
  </si>
  <si>
    <t xml:space="preserve">wc_to_wr_distance_mm</t>
  </si>
  <si>
    <t xml:space="preserve">70-160 mm (WI)</t>
  </si>
  <si>
    <t xml:space="preserve">V length/angle</t>
  </si>
  <si>
    <t xml:space="preserve">SET-13</t>
  </si>
  <si>
    <t xml:space="preserve">V length</t>
  </si>
  <si>
    <t xml:space="preserve">v_length_mm</t>
  </si>
  <si>
    <t xml:space="preserve">per WI annexure</t>
  </si>
  <si>
    <t xml:space="preserve">welder exports VEE LENGTH (AUTO xcheck)</t>
  </si>
  <si>
    <t xml:space="preserve">SET-14</t>
  </si>
  <si>
    <t xml:space="preserve">V gap</t>
  </si>
  <si>
    <t xml:space="preserve">v_gap_mm</t>
  </si>
  <si>
    <t xml:space="preserve">per norm</t>
  </si>
  <si>
    <t xml:space="preserve">SET-15</t>
  </si>
  <si>
    <t xml:space="preserve">Bead / weld-flow check</t>
  </si>
  <si>
    <t xml:space="preserve">weld_flow_ok</t>
  </si>
  <si>
    <t xml:space="preserve">operator/QA</t>
  </si>
  <si>
    <t xml:space="preserve">reference sample compare</t>
  </si>
  <si>
    <t xml:space="preserve">weld flow each new setup</t>
  </si>
  <si>
    <t xml:space="preserve">SET-16</t>
  </si>
  <si>
    <t xml:space="preserve">Use of argon</t>
  </si>
  <si>
    <t xml:space="preserve">argon_used</t>
  </si>
  <si>
    <t xml:space="preserve">grade</t>
  </si>
  <si>
    <t xml:space="preserve">special grades ST-52, SPL-K3, 1536/1541, Corten</t>
  </si>
  <si>
    <t xml:space="preserve">SET-17</t>
  </si>
  <si>
    <t xml:space="preserve">ECT calibration (1.5mm hole)</t>
  </si>
  <si>
    <t xml:space="preserve">ect_calibrated</t>
  </si>
  <si>
    <t xml:space="preserve">QA</t>
  </si>
  <si>
    <t xml:space="preserve">auto-sort + red paint working</t>
  </si>
  <si>
    <t xml:space="preserve">SET-18</t>
  </si>
  <si>
    <t xml:space="preserve">First-off result</t>
  </si>
  <si>
    <t xml:space="preserve">first_off_result</t>
  </si>
  <si>
    <t xml:space="preserve">SIC / QA</t>
  </si>
  <si>
    <t xml:space="preserve">PASS|FAIL</t>
  </si>
  <si>
    <t xml:space="preserve">GATE: RUNNING needs PASS</t>
  </si>
  <si>
    <t xml:space="preserve">SET-19</t>
  </si>
  <si>
    <t xml:space="preserve">First-off approver</t>
  </si>
  <si>
    <t xml:space="preserve">approved_by</t>
  </si>
  <si>
    <t xml:space="preserve">L3 setup, SIC/QA approve</t>
  </si>
  <si>
    <t xml:space="preserve">SET-20</t>
  </si>
  <si>
    <t xml:space="preserve">4M change</t>
  </si>
  <si>
    <t xml:space="preserve">is_4m_change / m4_category</t>
  </si>
  <si>
    <t xml:space="preserve">operator/SIC</t>
  </si>
  <si>
    <t xml:space="preserve">MAN|MATERIAL|MACHINE|METHOD</t>
  </si>
  <si>
    <t xml:space="preserve">validation + customer approval + tag stamp</t>
  </si>
  <si>
    <t xml:space="preserve">SET-21</t>
  </si>
  <si>
    <t xml:space="preserve">Fin-pass rolls 13/15/17/19/20 (spec vs obs)</t>
  </si>
  <si>
    <t xml:space="preserve">fin_pass_dims</t>
  </si>
  <si>
    <t xml:space="preserve">tol -0.20/+0.70</t>
  </si>
  <si>
    <t xml:space="preserve">observed recorded on TM-05</t>
  </si>
  <si>
    <t xml:space="preserve">SET-22</t>
  </si>
  <si>
    <t xml:space="preserve">Weld roll dia (21)</t>
  </si>
  <si>
    <t xml:space="preserve">weld_roll_dia_mm</t>
  </si>
  <si>
    <t xml:space="preserve">TM-02</t>
  </si>
  <si>
    <t xml:space="preserve">tol -0.20/+0.50</t>
  </si>
  <si>
    <t xml:space="preserve">SET-23</t>
  </si>
  <si>
    <t xml:space="preserve">Coolant concentration</t>
  </si>
  <si>
    <t xml:space="preserve">coolant_conc_pct</t>
  </si>
  <si>
    <t xml:space="preserve">%</t>
  </si>
  <si>
    <t xml:space="preserve">2.0% min CEW, 3% min ERW</t>
  </si>
  <si>
    <t xml:space="preserve">on TM-05</t>
  </si>
  <si>
    <t xml:space="preserve">SET-24</t>
  </si>
  <si>
    <t xml:space="preserve">First-off dims (OD/THK/Len/Fin ht)</t>
  </si>
  <si>
    <t xml:space="preserve">first_off_dims</t>
  </si>
  <si>
    <t xml:space="preserve">per WO</t>
  </si>
  <si>
    <t xml:space="preserve">TM-05 first-off block</t>
  </si>
  <si>
    <t xml:space="preserve">SET-25</t>
  </si>
  <si>
    <t xml:space="preserve">First-off form (Ovality/Straightness/Flattening/Drifting)</t>
  </si>
  <si>
    <t xml:space="preserve">first_off_form</t>
  </si>
  <si>
    <t xml:space="preserve">flattening 2t min; drifting 12.5% min</t>
  </si>
  <si>
    <t xml:space="preserve">SET-26</t>
  </si>
  <si>
    <t xml:space="preserve">Weld flow / surface / V angle</t>
  </si>
  <si>
    <t xml:space="preserve">weld_flow_surface_vangle</t>
  </si>
  <si>
    <t xml:space="preserve">PRC-01</t>
  </si>
  <si>
    <t xml:space="preserve">2 Online process</t>
  </si>
  <si>
    <t xml:space="preserve">txn.prod_tm_param_snapshot</t>
  </si>
  <si>
    <t xml:space="preserve">PRC-02</t>
  </si>
  <si>
    <t xml:space="preserve">shift_ref</t>
  </si>
  <si>
    <t xml:space="preserve">PRC-03</t>
  </si>
  <si>
    <t xml:space="preserve">Time (hourly + each restart)</t>
  </si>
  <si>
    <t xml:space="preserve">ts_hour</t>
  </si>
  <si>
    <t xml:space="preserve">ts</t>
  </si>
  <si>
    <t xml:space="preserve">server rollup</t>
  </si>
  <si>
    <t xml:space="preserve">hourly + restart</t>
  </si>
  <si>
    <t xml:space="preserve">PRC-04</t>
  </si>
  <si>
    <t xml:space="preserve">OD</t>
  </si>
  <si>
    <t xml:space="preserve">size.equivOdMm</t>
  </si>
  <si>
    <t xml:space="preserve">run (welder xcheck)</t>
  </si>
  <si>
    <t xml:space="preserve">welder reports OD</t>
  </si>
  <si>
    <t xml:space="preserve">PRC-05</t>
  </si>
  <si>
    <t xml:space="preserve">THK</t>
  </si>
  <si>
    <t xml:space="preserve">size.thkMm</t>
  </si>
  <si>
    <t xml:space="preserve">welder reports WALL</t>
  </si>
  <si>
    <t xml:space="preserve">PRC-06</t>
  </si>
  <si>
    <t xml:space="preserve">Mat grade</t>
  </si>
  <si>
    <t xml:space="preserve">run</t>
  </si>
  <si>
    <t xml:space="preserve">PRC-07</t>
  </si>
  <si>
    <t xml:space="preserve">Speed (MPM)</t>
  </si>
  <si>
    <t xml:space="preserve">line_speed_mpm</t>
  </si>
  <si>
    <t xml:space="preserve">mpm</t>
  </si>
  <si>
    <t xml:space="preserve">welder SPEED mpm</t>
  </si>
  <si>
    <t xml:space="preserve">in TM-02 speed band</t>
  </si>
  <si>
    <t xml:space="preserve">confirmed streaming</t>
  </si>
  <si>
    <t xml:space="preserve">PRC-08</t>
  </si>
  <si>
    <t xml:space="preserve">Power (KW)</t>
  </si>
  <si>
    <t xml:space="preserve">weld_power_kw</t>
  </si>
  <si>
    <t xml:space="preserve">kW</t>
  </si>
  <si>
    <t xml:space="preserve">welder POWER kW</t>
  </si>
  <si>
    <t xml:space="preserve">in TM-02 power band</t>
  </si>
  <si>
    <t xml:space="preserve">band check; confirmed</t>
  </si>
  <si>
    <t xml:space="preserve">PRC-09</t>
  </si>
  <si>
    <t xml:space="preserve">ID tool size</t>
  </si>
  <si>
    <t xml:space="preserve">setup (TM-02)</t>
  </si>
  <si>
    <t xml:space="preserve">PRC-10</t>
  </si>
  <si>
    <t xml:space="preserve">OD tool size</t>
  </si>
  <si>
    <t xml:space="preserve">PRC-11</t>
  </si>
  <si>
    <t xml:space="preserve">setup</t>
  </si>
  <si>
    <t xml:space="preserve">PRC-12</t>
  </si>
  <si>
    <t xml:space="preserve">PRC-13</t>
  </si>
  <si>
    <t xml:space="preserve">PRC-14</t>
  </si>
  <si>
    <t xml:space="preserve">PRC-15</t>
  </si>
  <si>
    <t xml:space="preserve">setup carry</t>
  </si>
  <si>
    <t xml:space="preserve">70-160 mm</t>
  </si>
  <si>
    <t xml:space="preserve">PRC-16</t>
  </si>
  <si>
    <t xml:space="preserve">Oil % in coolant (min 3.0)</t>
  </si>
  <si>
    <t xml:space="preserve">coolant_oil_pct</t>
  </si>
  <si>
    <t xml:space="preserve">operator titration</t>
  </si>
  <si>
    <t xml:space="preserve">ERW &gt;=3.0% special (WI)</t>
  </si>
  <si>
    <t xml:space="preserve">PRC-17</t>
  </si>
  <si>
    <t xml:space="preserve">Coolant pressure (min)</t>
  </si>
  <si>
    <t xml:space="preserve">coolant_pressure_kg</t>
  </si>
  <si>
    <t xml:space="preserve">kg/mm2</t>
  </si>
  <si>
    <t xml:space="preserve">AUTO/MANUAL</t>
  </si>
  <si>
    <t xml:space="preserve">utility PLC if wired</t>
  </si>
  <si>
    <t xml:space="preserve">&gt;=2.0 (WI)</t>
  </si>
  <si>
    <t xml:space="preserve">no wired sensor found -&gt; likely MANUAL</t>
  </si>
  <si>
    <t xml:space="preserve">PRC-18</t>
  </si>
  <si>
    <t xml:space="preserve">Use of argon Y/N</t>
  </si>
  <si>
    <t xml:space="preserve">setup / operator</t>
  </si>
  <si>
    <t xml:space="preserve">PRC-19</t>
  </si>
  <si>
    <t xml:space="preserve">Wiper change / clean</t>
  </si>
  <si>
    <t xml:space="preserve">wiper_change</t>
  </si>
  <si>
    <t xml:space="preserve">PRC-20</t>
  </si>
  <si>
    <t xml:space="preserve">Remarks</t>
  </si>
  <si>
    <t xml:space="preserve">remarks</t>
  </si>
  <si>
    <t xml:space="preserve">PRC-21</t>
  </si>
  <si>
    <t xml:space="preserve">Sign</t>
  </si>
  <si>
    <t xml:space="preserve">sign_ref</t>
  </si>
  <si>
    <t xml:space="preserve">PRC-22</t>
  </si>
  <si>
    <t xml:space="preserve">Frequency (kHz) [bonus]</t>
  </si>
  <si>
    <t xml:space="preserve">weld_frequency_khz</t>
  </si>
  <si>
    <t xml:space="preserve">plc.sample</t>
  </si>
  <si>
    <t xml:space="preserve">kHz</t>
  </si>
  <si>
    <t xml:space="preserve">telemetry beyond paper sheet</t>
  </si>
  <si>
    <t xml:space="preserve">PRC-23</t>
  </si>
  <si>
    <t xml:space="preserve">Current % / Voltage % [bonus]</t>
  </si>
  <si>
    <t xml:space="preserve">weld_current_pct / voltage_pct</t>
  </si>
  <si>
    <t xml:space="preserve">PRC-24</t>
  </si>
  <si>
    <t xml:space="preserve">KW monitor status/stored/offset [bonus]</t>
  </si>
  <si>
    <t xml:space="preserve">kw_band_*</t>
  </si>
  <si>
    <t xml:space="preserve">mixed</t>
  </si>
  <si>
    <t xml:space="preserve">reconcile vs TM-02</t>
  </si>
  <si>
    <t xml:space="preserve">welder's own KW band</t>
  </si>
  <si>
    <t xml:space="preserve">PRD-01</t>
  </si>
  <si>
    <t xml:space="preserve">3 Production</t>
  </si>
  <si>
    <t xml:space="preserve">PRD-02</t>
  </si>
  <si>
    <t xml:space="preserve">Size (OD/THK/Length)</t>
  </si>
  <si>
    <t xml:space="preserve">size</t>
  </si>
  <si>
    <t xml:space="preserve">PRD-03</t>
  </si>
  <si>
    <t xml:space="preserve">Slit No</t>
  </si>
  <si>
    <t xml:space="preserve">source / coil ref</t>
  </si>
  <si>
    <t xml:space="preserve">journey / plan</t>
  </si>
  <si>
    <t xml:space="preserve">PRD-04</t>
  </si>
  <si>
    <t xml:space="preserve">PRD-05</t>
  </si>
  <si>
    <t xml:space="preserve">PRD-06</t>
  </si>
  <si>
    <t xml:space="preserve">Prime - No</t>
  </si>
  <si>
    <t xml:space="preserve">pieces (class=PRIME)</t>
  </si>
  <si>
    <t xml:space="preserve">txn.prod_tm_bundle</t>
  </si>
  <si>
    <t xml:space="preserve">pcs</t>
  </si>
  <si>
    <t xml:space="preserve">COC saw count</t>
  </si>
  <si>
    <t xml:space="preserve">&gt;=0</t>
  </si>
  <si>
    <t xml:space="preserve">class set by operator</t>
  </si>
  <si>
    <t xml:space="preserve">PRD-07</t>
  </si>
  <si>
    <t xml:space="preserve">Prime - Wt</t>
  </si>
  <si>
    <t xml:space="preserve">weight_kg (PRIME)</t>
  </si>
  <si>
    <t xml:space="preserve">count x theoretical wt</t>
  </si>
  <si>
    <t xml:space="preserve">MEASURED if weighed</t>
  </si>
  <si>
    <t xml:space="preserve">PRD-08</t>
  </si>
  <si>
    <t xml:space="preserve">PQ2 - No (Joint/Other)</t>
  </si>
  <si>
    <t xml:space="preserve">pieces + pq2_reason</t>
  </si>
  <si>
    <t xml:space="preserve">operator class</t>
  </si>
  <si>
    <t xml:space="preserve">reason JOINT|OTHER</t>
  </si>
  <si>
    <t xml:space="preserve">PRD-09</t>
  </si>
  <si>
    <t xml:space="preserve">PQ2 - Wt</t>
  </si>
  <si>
    <t xml:space="preserve">weight_kg (PQ2)</t>
  </si>
  <si>
    <t xml:space="preserve">count x theoretical</t>
  </si>
  <si>
    <t xml:space="preserve">PRD-10</t>
  </si>
  <si>
    <t xml:space="preserve">CQ - No</t>
  </si>
  <si>
    <t xml:space="preserve">pieces (class=CQ)</t>
  </si>
  <si>
    <t xml:space="preserve">PRD-11</t>
  </si>
  <si>
    <t xml:space="preserve">CQ - Wt</t>
  </si>
  <si>
    <t xml:space="preserve">weight_kg (CQ)</t>
  </si>
  <si>
    <t xml:space="preserve">PRD-12</t>
  </si>
  <si>
    <t xml:space="preserve">Open - No</t>
  </si>
  <si>
    <t xml:space="preserve">pieces (class=OPEN)</t>
  </si>
  <si>
    <t xml:space="preserve">PRD-13</t>
  </si>
  <si>
    <t xml:space="preserve">Open - Wt</t>
  </si>
  <si>
    <t xml:space="preserve">weight_kg (OPEN)</t>
  </si>
  <si>
    <t xml:space="preserve">PRD-14</t>
  </si>
  <si>
    <t xml:space="preserve">Total - No</t>
  </si>
  <si>
    <t xml:space="preserve">sum pieces</t>
  </si>
  <si>
    <t xml:space="preserve">rollup</t>
  </si>
  <si>
    <t xml:space="preserve">PRD-15</t>
  </si>
  <si>
    <t xml:space="preserve">Total - Wt</t>
  </si>
  <si>
    <t xml:space="preserve">sum weight</t>
  </si>
  <si>
    <t xml:space="preserve">MT</t>
  </si>
  <si>
    <t xml:space="preserve">PRD-16</t>
  </si>
  <si>
    <t xml:space="preserve">Total Raw Mat</t>
  </si>
  <si>
    <t xml:space="preserve">raw_material_mt</t>
  </si>
  <si>
    <t xml:space="preserve">sum coil inputs</t>
  </si>
  <si>
    <t xml:space="preserve">yield denominator</t>
  </si>
  <si>
    <t xml:space="preserve">PRD-17</t>
  </si>
  <si>
    <t xml:space="preserve">Total Scrap (setup+joint)</t>
  </si>
  <si>
    <t xml:space="preserve">total_scrap_mt</t>
  </si>
  <si>
    <t xml:space="preserve">setup pieces auto-scrap</t>
  </si>
  <si>
    <t xml:space="preserve">PRD-18</t>
  </si>
  <si>
    <t xml:space="preserve">Totals Prime/PQ2/CQ/Open</t>
  </si>
  <si>
    <t xml:space="preserve">total_*_mt</t>
  </si>
  <si>
    <t xml:space="preserve">PRD-19</t>
  </si>
  <si>
    <t xml:space="preserve">Cumulative (MTD)</t>
  </si>
  <si>
    <t xml:space="preserve">MTD rollup</t>
  </si>
  <si>
    <t xml:space="preserve">(reporting)</t>
  </si>
  <si>
    <t xml:space="preserve">running total</t>
  </si>
  <si>
    <t xml:space="preserve">PRD-20</t>
  </si>
  <si>
    <t xml:space="preserve">Yield</t>
  </si>
  <si>
    <t xml:space="preserve">yield_pct</t>
  </si>
  <si>
    <t xml:space="preserve">accepted / raw</t>
  </si>
  <si>
    <t xml:space="preserve">0-100</t>
  </si>
  <si>
    <t xml:space="preserve">mass-balance warn</t>
  </si>
  <si>
    <t xml:space="preserve">PRD-21</t>
  </si>
  <si>
    <t xml:space="preserve">Hourly production/energy [bonus]</t>
  </si>
  <si>
    <t xml:space="preserve">prod_ton / energy_kwh / cost_inr</t>
  </si>
  <si>
    <t xml:space="preserve">ton,kWh,INR</t>
  </si>
  <si>
    <t xml:space="preserve">welder hourly export</t>
  </si>
  <si>
    <t xml:space="preserve">energy KPI + tonnage xcheck</t>
  </si>
  <si>
    <t xml:space="preserve">DWN-01</t>
  </si>
  <si>
    <t xml:space="preserve">4 Downtime</t>
  </si>
  <si>
    <t xml:space="preserve">Starting time</t>
  </si>
  <si>
    <t xml:space="preserve">start_ts</t>
  </si>
  <si>
    <t xml:space="preserve">collector (line stop)</t>
  </si>
  <si>
    <t xml:space="preserve">welder MESSAGE interim signal</t>
  </si>
  <si>
    <t xml:space="preserve">DWN-02</t>
  </si>
  <si>
    <t xml:space="preserve">Stopping time</t>
  </si>
  <si>
    <t xml:space="preserve">stop_ts</t>
  </si>
  <si>
    <t xml:space="preserve">collector (line start)</t>
  </si>
  <si>
    <t xml:space="preserve">DWN-03</t>
  </si>
  <si>
    <t xml:space="preserve">Running time</t>
  </si>
  <si>
    <t xml:space="preserve">running_min</t>
  </si>
  <si>
    <t xml:space="preserve">min</t>
  </si>
  <si>
    <t xml:space="preserve">derived</t>
  </si>
  <si>
    <t xml:space="preserve">DWN-04</t>
  </si>
  <si>
    <t xml:space="preserve">Reasons</t>
  </si>
  <si>
    <t xml:space="preserve">DWN-05</t>
  </si>
  <si>
    <t xml:space="preserve">Time lost</t>
  </si>
  <si>
    <t xml:space="preserve">time_lost</t>
  </si>
  <si>
    <t xml:space="preserve">stop - start</t>
  </si>
  <si>
    <t xml:space="preserve">DWN-06</t>
  </si>
  <si>
    <t xml:space="preserve">Code No</t>
  </si>
  <si>
    <t xml:space="preserve">stoppage_code</t>
  </si>
  <si>
    <t xml:space="preserve">FK master.stoppage_code</t>
  </si>
  <si>
    <t xml:space="preserve">O-1: code list needed</t>
  </si>
  <si>
    <t xml:space="preserve">DWN-07</t>
  </si>
  <si>
    <t xml:space="preserve">Remark</t>
  </si>
  <si>
    <t xml:space="preserve">remark</t>
  </si>
  <si>
    <t xml:space="preserve">DWN-08</t>
  </si>
  <si>
    <t xml:space="preserve">S.T. Total</t>
  </si>
  <si>
    <t xml:space="preserve">st_total_min</t>
  </si>
  <si>
    <t xml:space="preserve">sum time lost</t>
  </si>
  <si>
    <t xml:space="preserve">INS-01</t>
  </si>
  <si>
    <t xml:space="preserve">5 Online inspection</t>
  </si>
  <si>
    <t xml:space="preserve">Lot No / Coil No(s)</t>
  </si>
  <si>
    <t xml:space="preserve">lot_no / coil_no</t>
  </si>
  <si>
    <t xml:space="preserve">run / coil feed</t>
  </si>
  <si>
    <t xml:space="preserve">GLI-FT-QA-04 identification</t>
  </si>
  <si>
    <t xml:space="preserve">INS-02</t>
  </si>
  <si>
    <t xml:space="preserve">OD / WD &amp; HT</t>
  </si>
  <si>
    <t xml:space="preserve">od_meas_mm</t>
  </si>
  <si>
    <t xml:space="preserve">per WO tolerance</t>
  </si>
  <si>
    <t xml:space="preserve">welder OD is reference</t>
  </si>
  <si>
    <t xml:space="preserve">INS-03</t>
  </si>
  <si>
    <t xml:space="preserve">Thickness (Min / Max)</t>
  </si>
  <si>
    <t xml:space="preserve">thk_min_max_mm</t>
  </si>
  <si>
    <t xml:space="preserve">micrometer 0-225 bands</t>
  </si>
  <si>
    <t xml:space="preserve">INS-04</t>
  </si>
  <si>
    <t xml:space="preserve">len_meas_mm</t>
  </si>
  <si>
    <t xml:space="preserve">INS-05</t>
  </si>
  <si>
    <t xml:space="preserve">FC / NFC</t>
  </si>
  <si>
    <t xml:space="preserve">fin_cut_class</t>
  </si>
  <si>
    <t xml:space="preserve">FC|NFC</t>
  </si>
  <si>
    <t xml:space="preserve">fin-cut / no-fin-cut</t>
  </si>
  <si>
    <t xml:space="preserve">INS-06</t>
  </si>
  <si>
    <t xml:space="preserve">ID finish height</t>
  </si>
  <si>
    <t xml:space="preserve">id_finish_ht_mm</t>
  </si>
  <si>
    <t xml:space="preserve">inside weld upset</t>
  </si>
  <si>
    <t xml:space="preserve">INS-07</t>
  </si>
  <si>
    <t xml:space="preserve">Straightness</t>
  </si>
  <si>
    <t xml:space="preserve">straightness</t>
  </si>
  <si>
    <t xml:space="preserve">weld test</t>
  </si>
  <si>
    <t xml:space="preserve">INS-08</t>
  </si>
  <si>
    <t xml:space="preserve">Drift %</t>
  </si>
  <si>
    <t xml:space="preserve">drift_pct</t>
  </si>
  <si>
    <t xml:space="preserve">0t/t/2t/3t</t>
  </si>
  <si>
    <t xml:space="preserve">INS-09</t>
  </si>
  <si>
    <t xml:space="preserve">Flattening 0 / 90</t>
  </si>
  <si>
    <t xml:space="preserve">flatten_0_90</t>
  </si>
  <si>
    <t xml:space="preserve">2t min</t>
  </si>
  <si>
    <t xml:space="preserve">INS-10</t>
  </si>
  <si>
    <t xml:space="preserve">UT / ECT (U/E)</t>
  </si>
  <si>
    <t xml:space="preserve">ut_ect_result</t>
  </si>
  <si>
    <t xml:space="preserve">ECT if tapped</t>
  </si>
  <si>
    <t xml:space="preserve">0t/t/2t/3t; red-paint reject</t>
  </si>
  <si>
    <t xml:space="preserve">AUTO if ECT signal wired</t>
  </si>
  <si>
    <t xml:space="preserve">INS-11</t>
  </si>
  <si>
    <t xml:space="preserve">Surface defect (scratch/tool/roll mark/pick up)</t>
  </si>
  <si>
    <t xml:space="preserve">surface_defect</t>
  </si>
  <si>
    <t xml:space="preserve">INS-12</t>
  </si>
  <si>
    <t xml:space="preserve">Gauge check (OK / Not OK)</t>
  </si>
  <si>
    <t xml:space="preserve">gauge_result</t>
  </si>
  <si>
    <t xml:space="preserve">ball/pin/vernier/mandrel/plug/snap</t>
  </si>
  <si>
    <t xml:space="preserve">micrometer 0-225</t>
  </si>
  <si>
    <t xml:space="preserve">INS-13</t>
  </si>
  <si>
    <t xml:space="preserve">Class split (Prime/PQ2/CQ/Open/Joints)</t>
  </si>
  <si>
    <t xml:space="preserve">qa_class</t>
  </si>
  <si>
    <t xml:space="preserve">QA-04 disposition block</t>
  </si>
  <si>
    <t xml:space="preserve">INS-14</t>
  </si>
  <si>
    <t xml:space="preserve">Customer / WO / final size-grade</t>
  </si>
  <si>
    <t xml:space="preserve">work_order_no / final_size</t>
  </si>
  <si>
    <t xml:space="preserve">SLI-01</t>
  </si>
  <si>
    <t xml:space="preserve">6 Slit inspection</t>
  </si>
  <si>
    <t xml:space="preserve">W.O. Number</t>
  </si>
  <si>
    <t xml:space="preserve">GLI-FT-PRD-TM-01</t>
  </si>
  <si>
    <t xml:space="preserve">SLI-02</t>
  </si>
  <si>
    <t xml:space="preserve">coil_tag / slit_no</t>
  </si>
  <si>
    <t xml:space="preserve">SLI-03</t>
  </si>
  <si>
    <t xml:space="preserve">Weight</t>
  </si>
  <si>
    <t xml:space="preserve">SLI-04</t>
  </si>
  <si>
    <t xml:space="preserve">Hardness (coil) HRB</t>
  </si>
  <si>
    <t xml:space="preserve">hardness_hrb</t>
  </si>
  <si>
    <t xml:space="preserve">HRB</t>
  </si>
  <si>
    <t xml:space="preserve">operator / lab</t>
  </si>
  <si>
    <t xml:space="preserve">SLI-05</t>
  </si>
  <si>
    <t xml:space="preserve">Grade &amp; source</t>
  </si>
  <si>
    <t xml:space="preserve">SLI-06</t>
  </si>
  <si>
    <t xml:space="preserve">Strip width (Start/Mid/End)</t>
  </si>
  <si>
    <t xml:space="preserve">width_sme_mm</t>
  </si>
  <si>
    <t xml:space="preserve">per WO tol</t>
  </si>
  <si>
    <t xml:space="preserve">3 readings</t>
  </si>
  <si>
    <t xml:space="preserve">SLI-07</t>
  </si>
  <si>
    <t xml:space="preserve">Thickness (Start/Mid/End)</t>
  </si>
  <si>
    <t xml:space="preserve">thk_sme_mm</t>
  </si>
  <si>
    <t xml:space="preserve">SLI-08</t>
  </si>
  <si>
    <t xml:space="preserve">Rejection + reasons</t>
  </si>
  <si>
    <t xml:space="preserve">rejection_reason</t>
  </si>
  <si>
    <t xml:space="preserve">TL-01</t>
  </si>
  <si>
    <t xml:space="preserve">Tooling life (TM-FT-08)</t>
  </si>
  <si>
    <t xml:space="preserve">Work coil in use</t>
  </si>
  <si>
    <t xml:space="preserve">txn.tm_consumable_usage</t>
  </si>
  <si>
    <t xml:space="preserve">TL-02</t>
  </si>
  <si>
    <t xml:space="preserve">Tonnage rolled / cumulative</t>
  </si>
  <si>
    <t xml:space="preserve">cumulative_tonnage_mt</t>
  </si>
  <si>
    <t xml:space="preserve">usage counter</t>
  </si>
  <si>
    <t xml:space="preserve">vs threshold -&gt; change-due</t>
  </si>
  <si>
    <t xml:space="preserve">TL-03</t>
  </si>
  <si>
    <t xml:space="preserve">Visual inspection / action</t>
  </si>
  <si>
    <t xml:space="preserve">visual_inspection / action</t>
  </si>
  <si>
    <t xml:space="preserve">WHAT COMES FROM ERP / WORK ORDER . Dynamics 365 Business Central (system of record)</t>
  </si>
  <si>
    <t xml:space="preserve">ERP / WO field</t>
  </si>
  <si>
    <t xml:space="preserve">Canonical field</t>
  </si>
  <si>
    <t xml:space="preserve">Target table</t>
  </si>
  <si>
    <t xml:space="preserve">Read now (plan)</t>
  </si>
  <si>
    <t xml:space="preserve">Write back (later)</t>
  </si>
  <si>
    <t xml:space="preserve">Work order number</t>
  </si>
  <si>
    <t xml:space="preserve">queue card = one run; dedup with batch</t>
  </si>
  <si>
    <t xml:space="preserve">dedup / merge key</t>
  </si>
  <si>
    <t xml:space="preserve">RM grade / source</t>
  </si>
  <si>
    <t xml:space="preserve">Size (OD or section)</t>
  </si>
  <si>
    <t xml:space="preserve">round OD or section -&gt; equiv OD</t>
  </si>
  <si>
    <t xml:space="preserve">Thickness / SWG</t>
  </si>
  <si>
    <t xml:space="preserve">Planned quantity</t>
  </si>
  <si>
    <t xml:space="preserve">planned_qty</t>
  </si>
  <si>
    <t xml:space="preserve">for yield / completion</t>
  </si>
  <si>
    <t xml:space="preserve">RM coil master (tag)</t>
  </si>
  <si>
    <t xml:space="preserve">material-in identity</t>
  </si>
  <si>
    <t xml:space="preserve">RM coil width / thk / grade</t>
  </si>
  <si>
    <t xml:space="preserve">width_mm / thk_mm / grade</t>
  </si>
  <si>
    <t xml:space="preserve">RM coil weight</t>
  </si>
  <si>
    <t xml:space="preserve">Route / next operation</t>
  </si>
  <si>
    <t xml:space="preserve">route_ref</t>
  </si>
  <si>
    <t xml:space="preserve">(genealogy)</t>
  </si>
  <si>
    <t xml:space="preserve">release to next process</t>
  </si>
  <si>
    <t xml:space="preserve">Produced quantity (actuals)</t>
  </si>
  <si>
    <t xml:space="preserve">total_*_mt / pieces</t>
  </si>
  <si>
    <t xml:space="preserve">write-back phase</t>
  </si>
  <si>
    <t xml:space="preserve">Yield / scrap (actuals)</t>
  </si>
  <si>
    <t xml:space="preserve">yield_pct / total_scrap_mt</t>
  </si>
  <si>
    <t xml:space="preserve">Dispatch / bundle tags</t>
  </si>
  <si>
    <t xml:space="preserve">bundle tag_no</t>
  </si>
  <si>
    <t xml:space="preserve">packing/dispatch phase</t>
  </si>
  <si>
    <t xml:space="preserve">PLC / SCADA TAG MAP . tube mill controllers (read-only). Phase-1 tap = Welder + COC</t>
  </si>
  <si>
    <t xml:space="preserve">Signal</t>
  </si>
  <si>
    <t xml:space="preserve">Canonical column</t>
  </si>
  <si>
    <t xml:space="preserve">Controller</t>
  </si>
  <si>
    <t xml:space="preserve">Model</t>
  </si>
  <si>
    <t xml:space="preserve">Comms</t>
  </si>
  <si>
    <t xml:space="preserve">Read protocol / driver</t>
  </si>
  <si>
    <t xml:space="preserve">Ease</t>
  </si>
  <si>
    <t xml:space="preserve">Status / notes</t>
  </si>
  <si>
    <t xml:space="preserve">WELD_POWER</t>
  </si>
  <si>
    <t xml:space="preserve">prod_tm_param_snapshot</t>
  </si>
  <si>
    <t xml:space="preserve">HF Welder (Thermatool Weld-Manager)</t>
  </si>
  <si>
    <t xml:space="preserve">AB MicroLogix 1400</t>
  </si>
  <si>
    <t xml:space="preserve">Ethernet</t>
  </si>
  <si>
    <t xml:space="preserve">EtherNet/IP (pylogix / KEPServerEX)</t>
  </si>
  <si>
    <t xml:space="preserve">Easy</t>
  </si>
  <si>
    <t xml:space="preserve">CONFIRMED streaming (POWER kW in LOG/PROCESS export)</t>
  </si>
  <si>
    <t xml:space="preserve">LINE_SPEED</t>
  </si>
  <si>
    <t xml:space="preserve">HF Welder</t>
  </si>
  <si>
    <t xml:space="preserve">EtherNet/IP</t>
  </si>
  <si>
    <t xml:space="preserve">CONFIRMED (SPEED mpm in export); also on Twido mill drive</t>
  </si>
  <si>
    <t xml:space="preserve">WELD_CURRENT</t>
  </si>
  <si>
    <t xml:space="preserve">weld_current_pct</t>
  </si>
  <si>
    <t xml:space="preserve">welder exports CURRENT % + VOLTAGE %</t>
  </si>
  <si>
    <t xml:space="preserve">FREQUENCY</t>
  </si>
  <si>
    <t xml:space="preserve">bonus telemetry</t>
  </si>
  <si>
    <t xml:space="preserve">VEE_LENGTH</t>
  </si>
  <si>
    <t xml:space="preserve">tm_setup</t>
  </si>
  <si>
    <t xml:space="preserve">AUTO V-length cross-check for setup</t>
  </si>
  <si>
    <t xml:space="preserve">KW_BAND (status/stored/offset)</t>
  </si>
  <si>
    <t xml:space="preserve">welder's own KW window; reconcile vs TM-02</t>
  </si>
  <si>
    <t xml:space="preserve">RUN_STATE (MESSAGE)</t>
  </si>
  <si>
    <t xml:space="preserve">run/stop</t>
  </si>
  <si>
    <t xml:space="preserve">stoppage_entry</t>
  </si>
  <si>
    <t xml:space="preserve">HF Welder MESSAGE</t>
  </si>
  <si>
    <t xml:space="preserve">Easy (interim)</t>
  </si>
  <si>
    <t xml:space="preserve">'WELDER PRODUCING HEAT' = weld-on proxy</t>
  </si>
  <si>
    <t xml:space="preserve">PRODUCTION_TON / ENERGY</t>
  </si>
  <si>
    <t xml:space="preserve">HF Welder hourly report</t>
  </si>
  <si>
    <t xml:space="preserve">Ethernet / CSV</t>
  </si>
  <si>
    <t xml:space="preserve">WinCC CSV / EtherNet/IP</t>
  </si>
  <si>
    <t xml:space="preserve">hourly; energy KPI + tonnage xcheck</t>
  </si>
  <si>
    <t xml:space="preserve">CUT_COUNT</t>
  </si>
  <si>
    <t xml:space="preserve">pieces</t>
  </si>
  <si>
    <t xml:space="preserve">prod_tm_bundle</t>
  </si>
  <si>
    <t xml:space="preserve">pulse</t>
  </si>
  <si>
    <t xml:space="preserve">COC cut-off</t>
  </si>
  <si>
    <t xml:space="preserve">Beckhoff CX/IPC (TwinCAT)</t>
  </si>
  <si>
    <t xml:space="preserve">TwinCAT OPC UA / ADS</t>
  </si>
  <si>
    <t xml:space="preserve">Medium</t>
  </si>
  <si>
    <t xml:space="preserve">piece-count source; enable OPC UA server</t>
  </si>
  <si>
    <t xml:space="preserve">CUT_LENGTH</t>
  </si>
  <si>
    <t xml:space="preserve">length_mm</t>
  </si>
  <si>
    <t xml:space="preserve">prod_tm_run</t>
  </si>
  <si>
    <t xml:space="preserve">Beckhoff CX/IPC</t>
  </si>
  <si>
    <t xml:space="preserve">cut length per piece</t>
  </si>
  <si>
    <t xml:space="preserve">FORMING/FINPASS/SIZING</t>
  </si>
  <si>
    <t xml:space="preserve">(context)</t>
  </si>
  <si>
    <t xml:space="preserve">Mill drive PLC x3</t>
  </si>
  <si>
    <t xml:space="preserve">Schneider Twido TWDLCAA40DRF</t>
  </si>
  <si>
    <t xml:space="preserve">RS-232/485 serial, Win XP</t>
  </si>
  <si>
    <t xml:space="preserve">Modbus RTU via serial-&gt;Ethernet gateway (Moxa MGate)</t>
  </si>
  <si>
    <t xml:space="preserve">Hard</t>
  </si>
  <si>
    <t xml:space="preserve">legacy island; register map via TwidoSuite; DEFERABLE</t>
  </si>
  <si>
    <t xml:space="preserve">LINE_RUN_STOP (true)</t>
  </si>
  <si>
    <t xml:space="preserve">Mill drive PLC</t>
  </si>
  <si>
    <t xml:space="preserve">Schneider Twido</t>
  </si>
  <si>
    <t xml:space="preserve">serial</t>
  </si>
  <si>
    <t xml:space="preserve">Modbus RTU via gateway</t>
  </si>
  <si>
    <t xml:space="preserve">true line stop; interim use welder MESSAGE</t>
  </si>
  <si>
    <t xml:space="preserve">COOLANT_PRESSURE</t>
  </si>
  <si>
    <t xml:space="preserve">Utility PLC (not identified)</t>
  </si>
  <si>
    <t xml:space="preserve">Manual</t>
  </si>
  <si>
    <t xml:space="preserve">UNCOILER (feed/splice)</t>
  </si>
  <si>
    <t xml:space="preserve">(optional)</t>
  </si>
  <si>
    <t xml:space="preserve">Uncoiler</t>
  </si>
  <si>
    <t xml:space="preserve">Schneider Twido TM221CE40R</t>
  </si>
  <si>
    <t xml:space="preserve">Modbus TCP</t>
  </si>
  <si>
    <t xml:space="preserve">onboard Ethernet; optional</t>
  </si>
  <si>
    <t xml:space="preserve">MASTER . TM-02 R18 speed &amp; power window per size, thickness, grade -&gt; master.tm_param_chart (band check source)</t>
  </si>
  <si>
    <t xml:space="preserve">Size (as chart)</t>
  </si>
  <si>
    <t xml:space="preserve">Size key</t>
  </si>
  <si>
    <t xml:space="preserve">Thickness (mm)</t>
  </si>
  <si>
    <t xml:space="preserve">Speed min</t>
  </si>
  <si>
    <t xml:space="preserve">Speed max</t>
  </si>
  <si>
    <t xml:space="preserve">Grade</t>
  </si>
  <si>
    <t xml:space="preserve">Power min (kW)</t>
  </si>
  <si>
    <t xml:space="preserve">Power max (kW)</t>
  </si>
  <si>
    <t xml:space="preserve">20</t>
  </si>
  <si>
    <t xml:space="preserve">OD20</t>
  </si>
  <si>
    <t xml:space="preserve">1.0</t>
  </si>
  <si>
    <t xml:space="preserve">1010</t>
  </si>
  <si>
    <t xml:space="preserve">1.2/1.3</t>
  </si>
  <si>
    <t xml:space="preserve">BSK46</t>
  </si>
  <si>
    <t xml:space="preserve">1.4</t>
  </si>
  <si>
    <t xml:space="preserve">1.5</t>
  </si>
  <si>
    <t xml:space="preserve">1.6</t>
  </si>
  <si>
    <t xml:space="preserve">1.8</t>
  </si>
  <si>
    <t xml:space="preserve">2.0</t>
  </si>
  <si>
    <t xml:space="preserve">1020</t>
  </si>
  <si>
    <t xml:space="preserve">22.23</t>
  </si>
  <si>
    <t xml:space="preserve">OD22.23</t>
  </si>
  <si>
    <t xml:space="preserve">1.2</t>
  </si>
  <si>
    <t xml:space="preserve">1010/BSK-46</t>
  </si>
  <si>
    <t xml:space="preserve">1.5/1.4</t>
  </si>
  <si>
    <t xml:space="preserve">1.4/1.6</t>
  </si>
  <si>
    <t xml:space="preserve">ST-52/BSK-46</t>
  </si>
  <si>
    <t xml:space="preserve">1.8/1.9</t>
  </si>
  <si>
    <t xml:space="preserve">ST-52</t>
  </si>
  <si>
    <t xml:space="preserve">2.2</t>
  </si>
  <si>
    <t xml:space="preserve">GR-50</t>
  </si>
  <si>
    <t xml:space="preserve">2.3/2.25</t>
  </si>
  <si>
    <t xml:space="preserve">2.3</t>
  </si>
  <si>
    <t xml:space="preserve">2.4</t>
  </si>
  <si>
    <t xml:space="preserve">2.5</t>
  </si>
  <si>
    <t xml:space="preserve">2.6</t>
  </si>
  <si>
    <t xml:space="preserve">SPL-K3</t>
  </si>
  <si>
    <t xml:space="preserve">2.7</t>
  </si>
  <si>
    <t xml:space="preserve">25.40</t>
  </si>
  <si>
    <t xml:space="preserve">OD25.40</t>
  </si>
  <si>
    <t xml:space="preserve">BSK-46</t>
  </si>
  <si>
    <t xml:space="preserve">25.4</t>
  </si>
  <si>
    <t xml:space="preserve">OD25.4</t>
  </si>
  <si>
    <t xml:space="preserve">2.8/2.9</t>
  </si>
  <si>
    <t xml:space="preserve">3.0</t>
  </si>
  <si>
    <t xml:space="preserve">3.2</t>
  </si>
  <si>
    <t xml:space="preserve">3.5</t>
  </si>
  <si>
    <t xml:space="preserve">3.6</t>
  </si>
  <si>
    <t xml:space="preserve">1010/1020/ST-52</t>
  </si>
  <si>
    <t xml:space="preserve">1020/E250</t>
  </si>
  <si>
    <t xml:space="preserve">3.7</t>
  </si>
  <si>
    <t xml:space="preserve">28.58</t>
  </si>
  <si>
    <t xml:space="preserve">OD28.58</t>
  </si>
  <si>
    <t xml:space="preserve">2.0/2.20/2.30/2.35</t>
  </si>
  <si>
    <t xml:space="preserve">1010/1020</t>
  </si>
  <si>
    <t xml:space="preserve">2.50/2.6/2.7</t>
  </si>
  <si>
    <t xml:space="preserve">ST 52</t>
  </si>
  <si>
    <t xml:space="preserve">3.0/2.9</t>
  </si>
  <si>
    <t xml:space="preserve">1010/GR50</t>
  </si>
  <si>
    <t xml:space="preserve">3.2/3.5/3.6/3.8</t>
  </si>
  <si>
    <t xml:space="preserve">31.75</t>
  </si>
  <si>
    <t xml:space="preserve">OD31.75</t>
  </si>
  <si>
    <t xml:space="preserve">4.0</t>
  </si>
  <si>
    <t xml:space="preserve">34.93</t>
  </si>
  <si>
    <t xml:space="preserve">OD34.93</t>
  </si>
  <si>
    <t xml:space="preserve">E034/BSK-46</t>
  </si>
  <si>
    <t xml:space="preserve">2.2/2.3</t>
  </si>
  <si>
    <t xml:space="preserve">1010/BSK46</t>
  </si>
  <si>
    <t xml:space="preserve">35.0</t>
  </si>
  <si>
    <t xml:space="preserve">OD35.0</t>
  </si>
  <si>
    <t xml:space="preserve">35.50</t>
  </si>
  <si>
    <t xml:space="preserve">OD35.50</t>
  </si>
  <si>
    <t xml:space="preserve">2.85</t>
  </si>
  <si>
    <t xml:space="preserve">3.80</t>
  </si>
  <si>
    <t xml:space="preserve">38.1</t>
  </si>
  <si>
    <t xml:space="preserve">OD38.1</t>
  </si>
  <si>
    <t xml:space="preserve">1.8/2.0</t>
  </si>
  <si>
    <t xml:space="preserve">1010/1020/ST 52</t>
  </si>
  <si>
    <t xml:space="preserve">2.35</t>
  </si>
  <si>
    <t xml:space="preserve">38.5</t>
  </si>
  <si>
    <t xml:space="preserve">OD38.5</t>
  </si>
  <si>
    <t xml:space="preserve">1.27/1.20</t>
  </si>
  <si>
    <t xml:space="preserve">40.0</t>
  </si>
  <si>
    <t xml:space="preserve">OD40.0</t>
  </si>
  <si>
    <t xml:space="preserve">41.28</t>
  </si>
  <si>
    <t xml:space="preserve">OD41.28</t>
  </si>
  <si>
    <t xml:space="preserve">2.40</t>
  </si>
  <si>
    <t xml:space="preserve">2.40/2.7/2.65</t>
  </si>
  <si>
    <t xml:space="preserve">44.45</t>
  </si>
  <si>
    <t xml:space="preserve">OD44.45</t>
  </si>
  <si>
    <t xml:space="preserve">1.50/1.6</t>
  </si>
  <si>
    <t xml:space="preserve">1010/ST52/GR50</t>
  </si>
  <si>
    <t xml:space="preserve">BSK 46</t>
  </si>
  <si>
    <t xml:space="preserve">1006</t>
  </si>
  <si>
    <t xml:space="preserve">1010/1020/GR50</t>
  </si>
  <si>
    <t xml:space="preserve">45.0</t>
  </si>
  <si>
    <t xml:space="preserve">OD45.0</t>
  </si>
  <si>
    <t xml:space="preserve">50.80</t>
  </si>
  <si>
    <t xml:space="preserve">OD50.80</t>
  </si>
  <si>
    <t xml:space="preserve">20 X 40 (38.10)</t>
  </si>
  <si>
    <t xml:space="preserve">SEC20X40(38.10)</t>
  </si>
  <si>
    <t xml:space="preserve">1010/GR2</t>
  </si>
  <si>
    <t xml:space="preserve">30 X 30 (38.10)</t>
  </si>
  <si>
    <t xml:space="preserve">SEC30X30(38.10)</t>
  </si>
  <si>
    <t xml:space="preserve">40 X 25 (41.28)</t>
  </si>
  <si>
    <t xml:space="preserve">SEC40X25(41.28)</t>
  </si>
  <si>
    <t xml:space="preserve">1.4/1.5</t>
  </si>
  <si>
    <t xml:space="preserve">40 X 20 (38.10)</t>
  </si>
  <si>
    <t xml:space="preserve">SEC40X20(38.10)</t>
  </si>
  <si>
    <t xml:space="preserve">40 X 30 (44.45)</t>
  </si>
  <si>
    <t xml:space="preserve">SEC40X30(44.45)</t>
  </si>
  <si>
    <t xml:space="preserve">MASTER . TM-02 R18 fin-cutting tooling chart + fin-pass/weld-dia (all mm)</t>
  </si>
  <si>
    <t xml:space="preserve">Tube OD</t>
  </si>
  <si>
    <t xml:space="preserve">ID tool</t>
  </si>
  <si>
    <t xml:space="preserve">OD tool</t>
  </si>
  <si>
    <t xml:space="preserve">1.00-2.00</t>
  </si>
  <si>
    <t xml:space="preserve">14</t>
  </si>
  <si>
    <t xml:space="preserve">14 X 16</t>
  </si>
  <si>
    <t xml:space="preserve">3X200</t>
  </si>
  <si>
    <t xml:space="preserve">8</t>
  </si>
  <si>
    <t xml:space="preserve">R-6.5</t>
  </si>
  <si>
    <t xml:space="preserve">R-12/15</t>
  </si>
  <si>
    <t xml:space="preserve">30</t>
  </si>
  <si>
    <t xml:space="preserve">1.0-1.60</t>
  </si>
  <si>
    <t xml:space="preserve">16</t>
  </si>
  <si>
    <t xml:space="preserve">15 X 17</t>
  </si>
  <si>
    <t xml:space="preserve">R-7.0 &amp; 8.0</t>
  </si>
  <si>
    <t xml:space="preserve">34</t>
  </si>
  <si>
    <t xml:space="preserve">1.8-2.6</t>
  </si>
  <si>
    <t xml:space="preserve">R/6.5</t>
  </si>
  <si>
    <t xml:space="preserve">1.0-2.0</t>
  </si>
  <si>
    <t xml:space="preserve">18</t>
  </si>
  <si>
    <t xml:space="preserve">16 X 18</t>
  </si>
  <si>
    <t xml:space="preserve">4X200</t>
  </si>
  <si>
    <t xml:space="preserve">10</t>
  </si>
  <si>
    <t xml:space="preserve">R -7/8</t>
  </si>
  <si>
    <t xml:space="preserve">R -15/18</t>
  </si>
  <si>
    <t xml:space="preserve">36</t>
  </si>
  <si>
    <t xml:space="preserve">2.5-3.6</t>
  </si>
  <si>
    <t xml:space="preserve">1.0-3.0</t>
  </si>
  <si>
    <t xml:space="preserve">18 X 20</t>
  </si>
  <si>
    <t xml:space="preserve">R -7/8/9</t>
  </si>
  <si>
    <t xml:space="preserve">R -18/20</t>
  </si>
  <si>
    <t xml:space="preserve">40</t>
  </si>
  <si>
    <t xml:space="preserve">3.2-3.6</t>
  </si>
  <si>
    <t xml:space="preserve">1.00-4.00</t>
  </si>
  <si>
    <t xml:space="preserve">20/22</t>
  </si>
  <si>
    <t xml:space="preserve">20 X 22</t>
  </si>
  <si>
    <t xml:space="preserve">4/5X200</t>
  </si>
  <si>
    <t xml:space="preserve">42</t>
  </si>
  <si>
    <t xml:space="preserve">34.93/35.0/35.50</t>
  </si>
  <si>
    <t xml:space="preserve">25</t>
  </si>
  <si>
    <t xml:space="preserve">5X200</t>
  </si>
  <si>
    <t xml:space="preserve">R -9/10/11/12</t>
  </si>
  <si>
    <t xml:space="preserve">R -20/25</t>
  </si>
  <si>
    <t xml:space="preserve">48</t>
  </si>
  <si>
    <t xml:space="preserve">38.10/38.50</t>
  </si>
  <si>
    <t xml:space="preserve">1.0-3.6</t>
  </si>
  <si>
    <t xml:space="preserve">26 X 28</t>
  </si>
  <si>
    <t xml:space="preserve">7X200</t>
  </si>
  <si>
    <t xml:space="preserve">12</t>
  </si>
  <si>
    <t xml:space="preserve">50</t>
  </si>
  <si>
    <t xml:space="preserve">40.00</t>
  </si>
  <si>
    <t xml:space="preserve">1.20-2.50</t>
  </si>
  <si>
    <t xml:space="preserve">26X28</t>
  </si>
  <si>
    <t xml:space="preserve">R -30/35</t>
  </si>
  <si>
    <t xml:space="preserve">52</t>
  </si>
  <si>
    <t xml:space="preserve">45.00</t>
  </si>
  <si>
    <t xml:space="preserve">1.60-2.50</t>
  </si>
  <si>
    <t xml:space="preserve">30X32</t>
  </si>
  <si>
    <t xml:space="preserve">8X200</t>
  </si>
  <si>
    <t xml:space="preserve">58</t>
  </si>
  <si>
    <t xml:space="preserve">1.00-2.7</t>
  </si>
  <si>
    <t xml:space="preserve">R -10/11/12</t>
  </si>
  <si>
    <t xml:space="preserve">1.80-3.50</t>
  </si>
  <si>
    <t xml:space="preserve">30 X 32</t>
  </si>
  <si>
    <t xml:space="preserve">55</t>
  </si>
  <si>
    <t xml:space="preserve">2.30-4.0</t>
  </si>
  <si>
    <t xml:space="preserve">R -11/12</t>
  </si>
  <si>
    <t xml:space="preserve">62</t>
  </si>
  <si>
    <t xml:space="preserve">--- FIN PASS / WELD DIA (mm) ---</t>
  </si>
  <si>
    <t xml:space="preserve">Tube size</t>
  </si>
  <si>
    <t xml:space="preserve">Fin10</t>
  </si>
  <si>
    <t xml:space="preserve">Fin12</t>
  </si>
  <si>
    <t xml:space="preserve">Fin14 / SG</t>
  </si>
  <si>
    <t xml:space="preserve">23.55</t>
  </si>
  <si>
    <t xml:space="preserve">22.5</t>
  </si>
  <si>
    <t xml:space="preserve">21.75</t>
  </si>
  <si>
    <t xml:space="preserve">19.80/20.50</t>
  </si>
  <si>
    <t xml:space="preserve">28.66</t>
  </si>
  <si>
    <t xml:space="preserve">27.78</t>
  </si>
  <si>
    <t xml:space="preserve">26.94</t>
  </si>
  <si>
    <t xml:space="preserve">25.20/25.90</t>
  </si>
  <si>
    <t xml:space="preserve">35.82</t>
  </si>
  <si>
    <t xml:space="preserve">34.72</t>
  </si>
  <si>
    <t xml:space="preserve">33.66</t>
  </si>
  <si>
    <t xml:space="preserve">31.55/32.25</t>
  </si>
  <si>
    <t xml:space="preserve">42.36</t>
  </si>
  <si>
    <t xml:space="preserve">40.32</t>
  </si>
  <si>
    <t xml:space="preserve">37.90/38.60</t>
  </si>
  <si>
    <t xml:space="preserve">49.18</t>
  </si>
  <si>
    <t xml:space="preserve">47.8</t>
  </si>
  <si>
    <t xml:space="preserve">46.44</t>
  </si>
  <si>
    <t xml:space="preserve">44.25/44.95</t>
  </si>
  <si>
    <t xml:space="preserve">55.50</t>
  </si>
  <si>
    <t xml:space="preserve">53.75</t>
  </si>
  <si>
    <t xml:space="preserve">52.60</t>
  </si>
  <si>
    <t xml:space="preserve">51.40/51.50</t>
  </si>
  <si>
    <t xml:space="preserve">CODES, ENUMS &amp; LISTS</t>
  </si>
  <si>
    <t xml:space="preserve">Group</t>
  </si>
  <si>
    <t xml:space="preserve">Code / value</t>
  </si>
  <si>
    <t xml:space="preserve">Meaning / notes</t>
  </si>
  <si>
    <t xml:space="preserve">Quality class</t>
  </si>
  <si>
    <t xml:space="preserve">PRIME</t>
  </si>
  <si>
    <t xml:space="preserve">first quality</t>
  </si>
  <si>
    <t xml:space="preserve">PQ2 (JOINT | OTHER)</t>
  </si>
  <si>
    <t xml:space="preserve">prime second; sub-reason joint or other</t>
  </si>
  <si>
    <t xml:space="preserve">CQ</t>
  </si>
  <si>
    <t xml:space="preserve">commercial quality</t>
  </si>
  <si>
    <t xml:space="preserve">OPEN</t>
  </si>
  <si>
    <t xml:space="preserve">open weld</t>
  </si>
  <si>
    <t xml:space="preserve">SCRAP</t>
  </si>
  <si>
    <t xml:space="preserve">setup, joint, crop, trim</t>
  </si>
  <si>
    <t xml:space="preserve">1006 / 1010 / 1020 / 1026</t>
  </si>
  <si>
    <t xml:space="preserve">carbon steel</t>
  </si>
  <si>
    <t xml:space="preserve">ST-52 / SPL-K3 / 1536 / 1541 / Corten</t>
  </si>
  <si>
    <t xml:space="preserve">special -&gt; argon at weld</t>
  </si>
  <si>
    <t xml:space="preserve">BSK-46 / GR-50 / GR2 / E250 / E034</t>
  </si>
  <si>
    <t xml:space="preserve">other order grades</t>
  </si>
  <si>
    <t xml:space="preserve">Stoppage category</t>
  </si>
  <si>
    <t xml:space="preserve">OPN / ELECT / MECH / UTILITY / POWER / PLANNED / OTHER</t>
  </si>
  <si>
    <t xml:space="preserve">map TM-FT-03 codes to these (O-1)</t>
  </si>
  <si>
    <t xml:space="preserve">INITIAL | REGULAR</t>
  </si>
  <si>
    <t xml:space="preserve">Setup reason</t>
  </si>
  <si>
    <t xml:space="preserve">NEW_PRODUCT | SIZE_CHANGE | SHIFT_CHANGE | POWER_FAILURE | BREAKDOWN | ROLL_CHANGE</t>
  </si>
  <si>
    <t xml:space="preserve">4M category</t>
  </si>
  <si>
    <t xml:space="preserve">MAN | MATERIAL | MACHINE | METHOD</t>
  </si>
  <si>
    <t xml:space="preserve">Run state</t>
  </si>
  <si>
    <t xml:space="preserve">IDLE | SETUP | FIRST_OFF_PENDING | RUNNING | STOPPAGE | ROLL_CHANGE | RUN_COMPLETE</t>
  </si>
  <si>
    <t xml:space="preserve">mill state machine</t>
  </si>
  <si>
    <t xml:space="preserve">Weight source</t>
  </si>
  <si>
    <t xml:space="preserve">DERIVED | MEASURED</t>
  </si>
  <si>
    <t xml:space="preserve">derived = count x theoretical</t>
  </si>
  <si>
    <t xml:space="preserve">Record status</t>
  </si>
  <si>
    <t xml:space="preserve">DRAFT | SUBMITTED | APPROVED | LOCKED</t>
  </si>
  <si>
    <t xml:space="preserve">capture lifecycle</t>
  </si>
  <si>
    <t xml:space="preserve">Consumable kind</t>
  </si>
  <si>
    <t xml:space="preserve">WORK_COIL | CUTTER | ROLL_SET | IMPEDER | FIN_BLADE</t>
  </si>
  <si>
    <t xml:space="preserve">tooling life</t>
  </si>
  <si>
    <t xml:space="preserve">Mill / saw</t>
  </si>
  <si>
    <t xml:space="preserve">A-59 [survey] | TM-01 cold 325-400 | TM-02 flying 550-700 | TM-03 flying 550-700 | TM-04 cold 425-500</t>
  </si>
  <si>
    <t xml:space="preserve">cutter dia mm</t>
  </si>
  <si>
    <t xml:space="preserve">Weld-line width</t>
  </si>
  <si>
    <t xml:space="preserve">ERW 0.05-0.30 mm | CEW 0.05 mm max</t>
  </si>
  <si>
    <t xml:space="preserve">magnification 8X-25X by thickness (TM-01)</t>
  </si>
  <si>
    <t xml:space="preserve">END-TO-END DATA FLOW</t>
  </si>
  <si>
    <t xml:space="preserve">Step</t>
  </si>
  <si>
    <t xml:space="preserve">To</t>
  </si>
  <si>
    <t xml:space="preserve">What moves</t>
  </si>
  <si>
    <t xml:space="preserve">1 Plan</t>
  </si>
  <si>
    <t xml:space="preserve">Dynamics 365 BC (ERP)</t>
  </si>
  <si>
    <t xml:space="preserve">Server (run header)</t>
  </si>
  <si>
    <t xml:space="preserve">WO, batch, customer, grade, size, thk, length, qty, RM coil master</t>
  </si>
  <si>
    <t xml:space="preserve">2 Recipe</t>
  </si>
  <si>
    <t xml:space="preserve">TM-02 master chart</t>
  </si>
  <si>
    <t xml:space="preserve">Server (setup autofill)</t>
  </si>
  <si>
    <t xml:space="preserve">tooling set + power/speed band for size+thk+grade; operator confirms on tablet</t>
  </si>
  <si>
    <t xml:space="preserve">3 Machine</t>
  </si>
  <si>
    <t xml:space="preserve">Welder (AB EtherNet/IP) + COC (Beckhoff OPC UA)</t>
  </si>
  <si>
    <t xml:space="preserve">Collector -&gt; Server</t>
  </si>
  <si>
    <t xml:space="preserve">1s speed/power/current/vee/message; per-cut count + length</t>
  </si>
  <si>
    <t xml:space="preserve">4 Compute</t>
  </si>
  <si>
    <t xml:space="preserve">Collector / Server</t>
  </si>
  <si>
    <t xml:space="preserve">plc.sample + rollups</t>
  </si>
  <si>
    <t xml:space="preserve">hourly param snapshot; run/stop -&gt; stoppage; cut -&gt; piece count; band exception</t>
  </si>
  <si>
    <t xml:space="preserve">5 Confirm</t>
  </si>
  <si>
    <t xml:space="preserve">Server (live API)</t>
  </si>
  <si>
    <t xml:space="preserve">Tablet (monitor + exception)</t>
  </si>
  <si>
    <t xml:space="preserve">confirm tooling, first-off PASS/FAIL, quality class, code stoppages, enter coolant/wiper, inspection</t>
  </si>
  <si>
    <t xml:space="preserve">6 Assemble</t>
  </si>
  <si>
    <t xml:space="preserve">Server rollups</t>
  </si>
  <si>
    <t xml:space="preserve">The 5 sheets (views)</t>
  </si>
  <si>
    <t xml:space="preserve">setup approval, online process, production, downtime, online inspection assemble themselves</t>
  </si>
  <si>
    <t xml:space="preserve">7 Write-back (later)</t>
  </si>
  <si>
    <t xml:space="preserve">Server</t>
  </si>
  <si>
    <t xml:space="preserve">Dynamics 365 BC</t>
  </si>
  <si>
    <t xml:space="preserve">produced qty, yield, scrap, dispatch tags</t>
  </si>
  <si>
    <t xml:space="preserve">Invariant</t>
  </si>
  <si>
    <t xml:space="preserve">Only the collector touches PLCs. The tablet reads the server API, never a PLC. Everything keys on work order + batch number.</t>
  </si>
  <si>
    <t xml:space="preserve">REQUIRED DOCUMENTS &amp; OPEN GAPS to freeze the schema</t>
  </si>
  <si>
    <t xml:space="preserve">Ref</t>
  </si>
  <si>
    <t xml:space="preserve">Document / item needed</t>
  </si>
  <si>
    <t xml:space="preserve">Why it matters</t>
  </si>
  <si>
    <t xml:space="preserve">Status / owner</t>
  </si>
  <si>
    <t xml:space="preserve">D-1</t>
  </si>
  <si>
    <t xml:space="preserve">Sheet 1 setup gate</t>
  </si>
  <si>
    <t xml:space="preserve">RESOLVED - received (R1)</t>
  </si>
  <si>
    <t xml:space="preserve">D-2</t>
  </si>
  <si>
    <t xml:space="preserve">GLI-FT-QA-04 Online Quality Inspection Report</t>
  </si>
  <si>
    <t xml:space="preserve">Sheet 5 dims / weld / UT-ECT / surface</t>
  </si>
  <si>
    <t xml:space="preserve">RESOLVED - received (R4)</t>
  </si>
  <si>
    <t xml:space="preserve">D-2b</t>
  </si>
  <si>
    <t xml:space="preserve">Overarching Quality / Control Plan (acceptance master)</t>
  </si>
  <si>
    <t xml:space="preserve">Ties QA-04/QA-03/QA-06A frequencies + acceptance</t>
  </si>
  <si>
    <t xml:space="preserve">Pending - Goodluck QA</t>
  </si>
  <si>
    <t xml:space="preserve">D-3</t>
  </si>
  <si>
    <t xml:space="preserve">TM-FT-03 stoppage reason-CODE master list (O-1)</t>
  </si>
  <si>
    <t xml:space="preserve">Code downtime; map to OEE taxonomy</t>
  </si>
  <si>
    <t xml:space="preserve">Pending - Goodluck</t>
  </si>
  <si>
    <t xml:space="preserve">D-4</t>
  </si>
  <si>
    <t xml:space="preserve">A-59 PLC tag / address map per controller (O-2)</t>
  </si>
  <si>
    <t xml:space="preserve">Welder tag list, COC TwinCAT variables, Twido registers; decides AUTO vs MANUAL</t>
  </si>
  <si>
    <t xml:space="preserve">Pending - tag survey</t>
  </si>
  <si>
    <t xml:space="preserve">D-5</t>
  </si>
  <si>
    <t xml:space="preserve">GLI-FT-PRD-TM-09 machine check sheet (start of shift)</t>
  </si>
  <si>
    <t xml:space="preserve">Setup / shift-start checks</t>
  </si>
  <si>
    <t xml:space="preserve">D-6</t>
  </si>
  <si>
    <t xml:space="preserve">GLI-FT-TM-07 minimum tool stock</t>
  </si>
  <si>
    <t xml:space="preserve">Tooling min-stock alerts</t>
  </si>
  <si>
    <t xml:space="preserve">D-7</t>
  </si>
  <si>
    <t xml:space="preserve">Route card + tag colour scheme</t>
  </si>
  <si>
    <t xml:space="preserve">Release to next operation, genealogy</t>
  </si>
  <si>
    <t xml:space="preserve">Partial (GLI-WI-QA-13)</t>
  </si>
  <si>
    <t xml:space="preserve">D-8</t>
  </si>
  <si>
    <t xml:space="preserve">GLI-FT-TM-11 Arc Weld Current format (R0 provisional)</t>
  </si>
  <si>
    <t xml:space="preserve">If arc-weld current log retained</t>
  </si>
  <si>
    <t xml:space="preserve">D-9</t>
  </si>
  <si>
    <t xml:space="preserve">Theoretical tube-weight formula (O-6)</t>
  </si>
  <si>
    <t xml:space="preserve">Derived bundle weight must match their books</t>
  </si>
  <si>
    <t xml:space="preserve">D-10</t>
  </si>
  <si>
    <t xml:space="preserve">Full size/section list + SWG to mm table (O-5)</t>
  </si>
  <si>
    <t xml:space="preserve">TM-02 seed + size model</t>
  </si>
  <si>
    <t xml:space="preserve">Partly from TM-02 R18</t>
  </si>
  <si>
    <t xml:space="preserve">D-11</t>
  </si>
  <si>
    <t xml:space="preserve">WinCC / SCADA access (10am email path, SQL read login, tag export)</t>
  </si>
  <si>
    <t xml:space="preserve">Interim CSV ingest + welder history</t>
  </si>
  <si>
    <t xml:space="preserve">Pending - Electrical Head</t>
  </si>
  <si>
    <t xml:space="preserve">D-12</t>
  </si>
  <si>
    <t xml:space="preserve">Welder controller confirmation (AB MicroLogix 1400 + Thermatool)</t>
  </si>
  <si>
    <t xml:space="preserve">Confirm data interface to tap</t>
  </si>
  <si>
    <t xml:space="preserve">Confirm on site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</si>
</sst>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14532D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D20"/>
        <bgColor rgb="FF14532D"/>
      </patternFill>
    </fill>
    <fill>
      <patternFill patternType="solid">
        <fgColor rgb="FFD9E7DC"/>
        <bgColor rgb="FFD6EAD6"/>
      </patternFill>
    </fill>
    <fill>
      <patternFill patternType="solid">
        <fgColor rgb="FFD6EAD6"/>
        <bgColor rgb="FFD9E7DC"/>
      </patternFill>
    </fill>
    <fill>
      <patternFill patternType="solid">
        <fgColor rgb="FFD6E3F0"/>
        <bgColor rgb="FFD9E7DC"/>
      </patternFill>
    </fill>
    <fill>
      <patternFill patternType="solid">
        <fgColor rgb="FFFCE7C9"/>
        <bgColor rgb="FFE4E4E7"/>
      </patternFill>
    </fill>
    <fill>
      <patternFill patternType="solid">
        <fgColor rgb="FFE4E4E7"/>
        <bgColor rgb="FFD9E7DC"/>
      </patternFill>
    </fill>
    <fill>
      <patternFill patternType="solid">
        <fgColor rgb="FFEADCF2"/>
        <bgColor rgb="FFE4E4E7"/>
      </patternFill>
    </fill>
    <fill>
      <patternFill patternType="solid">
        <fgColor rgb="FF14532D"/>
        <bgColor rgb="FF0F3D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7C9"/>
      <rgbColor rgb="FFD9E7DC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4E7"/>
      <rgbColor rgb="FFD6EAD6"/>
      <rgbColor rgb="FFFFFF99"/>
      <rgbColor rgb="FF99CCFF"/>
      <rgbColor rgb="FFFF99CC"/>
      <rgbColor rgb="FFCC99FF"/>
      <rgbColor rgb="FFEADC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32D"/>
      <rgbColor rgb="FF339966"/>
      <rgbColor rgb="FF0F3D2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5"/>
      <c r="B10" s="4"/>
    </row>
    <row r="11" customFormat="false" ht="15" hidden="false" customHeight="false" outlineLevel="0" collapsed="false">
      <c r="A11" s="6" t="s">
        <v>14</v>
      </c>
      <c r="B11" s="4"/>
    </row>
    <row r="12" customFormat="false" ht="15" hidden="false" customHeight="false" outlineLevel="0" collapsed="false">
      <c r="A12" s="7" t="s">
        <v>15</v>
      </c>
      <c r="B12" s="4" t="s">
        <v>16</v>
      </c>
    </row>
    <row r="13" customFormat="false" ht="15" hidden="false" customHeight="false" outlineLevel="0" collapsed="false">
      <c r="A13" s="8" t="s">
        <v>17</v>
      </c>
      <c r="B13" s="4" t="s">
        <v>18</v>
      </c>
    </row>
    <row r="14" customFormat="false" ht="15" hidden="false" customHeight="false" outlineLevel="0" collapsed="false">
      <c r="A14" s="9" t="s">
        <v>19</v>
      </c>
      <c r="B14" s="4" t="s">
        <v>20</v>
      </c>
    </row>
    <row r="15" customFormat="false" ht="15" hidden="false" customHeight="false" outlineLevel="0" collapsed="false">
      <c r="A15" s="10" t="s">
        <v>21</v>
      </c>
      <c r="B15" s="4" t="s">
        <v>22</v>
      </c>
    </row>
    <row r="16" customFormat="false" ht="15" hidden="false" customHeight="false" outlineLevel="0" collapsed="false">
      <c r="A16" s="11" t="s">
        <v>23</v>
      </c>
      <c r="B16" s="4" t="s">
        <v>24</v>
      </c>
    </row>
    <row r="17" customFormat="false" ht="15" hidden="false" customHeight="false" outlineLevel="0" collapsed="false">
      <c r="A17" s="5"/>
      <c r="B17" s="4"/>
    </row>
    <row r="18" customFormat="false" ht="23.85" hidden="false" customHeight="false" outlineLevel="0" collapsed="false">
      <c r="A18" s="3" t="s">
        <v>25</v>
      </c>
      <c r="B18" s="4" t="s">
        <v>26</v>
      </c>
    </row>
    <row r="19" customFormat="false" ht="23.85" hidden="false" customHeight="fals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3" t="s">
        <v>29</v>
      </c>
      <c r="B20" s="4" t="s">
        <v>30</v>
      </c>
    </row>
    <row r="22" customFormat="false" ht="15" hidden="false" customHeight="false" outlineLevel="0" collapsed="false">
      <c r="A22" s="12" t="s">
        <v>31</v>
      </c>
    </row>
    <row r="23" customFormat="false" ht="15" hidden="false" customHeight="false" outlineLevel="0" collapsed="false">
      <c r="A23" s="13" t="s">
        <v>15</v>
      </c>
      <c r="B23" s="13" t="n">
        <f aca="false">COUNTIF('Field Register'!$H$4:$H$125,"*AUTO*")</f>
        <v>23</v>
      </c>
    </row>
    <row r="24" customFormat="false" ht="15" hidden="false" customHeight="false" outlineLevel="0" collapsed="false">
      <c r="A24" s="13" t="s">
        <v>17</v>
      </c>
      <c r="B24" s="13" t="n">
        <f aca="false">COUNTIF('Field Register'!$H$4:$H$125,"*DERIVED*")</f>
        <v>53</v>
      </c>
    </row>
    <row r="25" customFormat="false" ht="15" hidden="false" customHeight="false" outlineLevel="0" collapsed="false">
      <c r="A25" s="13" t="s">
        <v>19</v>
      </c>
      <c r="B25" s="13" t="n">
        <f aca="false">COUNTIF('Field Register'!$H$4:$H$125,"*MANUAL*")</f>
        <v>47</v>
      </c>
    </row>
    <row r="26" customFormat="false" ht="15" hidden="false" customHeight="false" outlineLevel="0" collapsed="false">
      <c r="A26" s="13" t="s">
        <v>23</v>
      </c>
      <c r="B26" s="13" t="n">
        <f aca="false">COUNTIF('Field Register'!$H$4:$H$125,"*SYSTEM*")</f>
        <v>2</v>
      </c>
    </row>
    <row r="27" customFormat="false" ht="15" hidden="false" customHeight="false" outlineLevel="0" collapsed="false">
      <c r="A27" s="14" t="s">
        <v>32</v>
      </c>
      <c r="B27" s="14" t="n">
        <f aca="false">COUNTA('Field Register'!$A$4:$A$125)</f>
        <v>122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2"/>
  </cols>
  <sheetData>
    <row r="1" customFormat="false" ht="24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35</v>
      </c>
      <c r="B3" s="17" t="s">
        <v>36</v>
      </c>
      <c r="C3" s="17" t="s">
        <v>37</v>
      </c>
      <c r="D3" s="17" t="s">
        <v>38</v>
      </c>
      <c r="E3" s="17" t="s">
        <v>39</v>
      </c>
      <c r="F3" s="17" t="s">
        <v>40</v>
      </c>
      <c r="G3" s="17" t="s">
        <v>41</v>
      </c>
    </row>
    <row r="4" customFormat="false" ht="23.85" hidden="false" customHeight="false" outlineLevel="0" collapsed="false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</row>
    <row r="5" customFormat="false" ht="23.85" hidden="false" customHeight="false" outlineLevel="0" collapsed="false">
      <c r="A5" s="18" t="s">
        <v>49</v>
      </c>
      <c r="B5" s="18" t="s">
        <v>50</v>
      </c>
      <c r="C5" s="18" t="s">
        <v>51</v>
      </c>
      <c r="D5" s="18" t="s">
        <v>52</v>
      </c>
      <c r="E5" s="18" t="s">
        <v>53</v>
      </c>
      <c r="F5" s="18" t="s">
        <v>54</v>
      </c>
      <c r="G5" s="18" t="s">
        <v>55</v>
      </c>
    </row>
    <row r="6" customFormat="false" ht="23.85" hidden="false" customHeight="false" outlineLevel="0" collapsed="false">
      <c r="A6" s="18" t="s">
        <v>56</v>
      </c>
      <c r="B6" s="18" t="s">
        <v>57</v>
      </c>
      <c r="C6" s="18" t="s">
        <v>58</v>
      </c>
      <c r="D6" s="18" t="s">
        <v>52</v>
      </c>
      <c r="E6" s="18" t="s">
        <v>59</v>
      </c>
      <c r="F6" s="18" t="s">
        <v>60</v>
      </c>
      <c r="G6" s="18" t="s">
        <v>61</v>
      </c>
    </row>
    <row r="7" customFormat="false" ht="15" hidden="false" customHeight="false" outlineLevel="0" collapsed="false">
      <c r="A7" s="18" t="s">
        <v>62</v>
      </c>
      <c r="B7" s="18" t="s">
        <v>63</v>
      </c>
      <c r="C7" s="18" t="s">
        <v>51</v>
      </c>
      <c r="D7" s="18" t="s">
        <v>52</v>
      </c>
      <c r="E7" s="18" t="s">
        <v>64</v>
      </c>
      <c r="F7" s="18" t="s">
        <v>65</v>
      </c>
      <c r="G7" s="18" t="s">
        <v>66</v>
      </c>
    </row>
    <row r="8" customFormat="false" ht="23.85" hidden="false" customHeight="false" outlineLevel="0" collapsed="false">
      <c r="A8" s="18" t="s">
        <v>67</v>
      </c>
      <c r="B8" s="18" t="s">
        <v>68</v>
      </c>
      <c r="C8" s="18" t="s">
        <v>69</v>
      </c>
      <c r="D8" s="18" t="s">
        <v>45</v>
      </c>
      <c r="E8" s="18" t="s">
        <v>70</v>
      </c>
      <c r="F8" s="18" t="s">
        <v>71</v>
      </c>
      <c r="G8" s="18" t="s">
        <v>72</v>
      </c>
    </row>
    <row r="9" customFormat="false" ht="23.85" hidden="false" customHeight="false" outlineLevel="0" collapsed="false">
      <c r="A9" s="18" t="s">
        <v>73</v>
      </c>
      <c r="B9" s="18" t="s">
        <v>74</v>
      </c>
      <c r="C9" s="18" t="s">
        <v>58</v>
      </c>
      <c r="D9" s="18" t="s">
        <v>45</v>
      </c>
      <c r="E9" s="18" t="s">
        <v>75</v>
      </c>
      <c r="F9" s="18" t="s">
        <v>76</v>
      </c>
      <c r="G9" s="18" t="s">
        <v>77</v>
      </c>
    </row>
    <row r="10" customFormat="false" ht="15" hidden="false" customHeight="false" outlineLevel="0" collapsed="false">
      <c r="A10" s="18" t="s">
        <v>78</v>
      </c>
      <c r="B10" s="18"/>
      <c r="C10" s="18"/>
      <c r="D10" s="18"/>
      <c r="E10" s="18"/>
      <c r="F10" s="18"/>
      <c r="G10" s="18"/>
    </row>
    <row r="11" customFormat="false" ht="23.85" hidden="false" customHeight="false" outlineLevel="0" collapsed="false">
      <c r="A11" s="18" t="s">
        <v>79</v>
      </c>
      <c r="B11" s="18" t="s">
        <v>80</v>
      </c>
      <c r="C11" s="18" t="s">
        <v>81</v>
      </c>
      <c r="D11" s="18" t="s">
        <v>52</v>
      </c>
      <c r="E11" s="18" t="s">
        <v>82</v>
      </c>
      <c r="F11" s="18" t="s">
        <v>47</v>
      </c>
      <c r="G11" s="18" t="s">
        <v>83</v>
      </c>
    </row>
    <row r="12" customFormat="false" ht="23.85" hidden="false" customHeight="false" outlineLevel="0" collapsed="false">
      <c r="A12" s="18" t="s">
        <v>84</v>
      </c>
      <c r="B12" s="18" t="s">
        <v>85</v>
      </c>
      <c r="C12" s="18" t="s">
        <v>81</v>
      </c>
      <c r="D12" s="18" t="s">
        <v>52</v>
      </c>
      <c r="E12" s="18" t="s">
        <v>86</v>
      </c>
      <c r="F12" s="18" t="s">
        <v>87</v>
      </c>
      <c r="G12" s="18" t="s">
        <v>88</v>
      </c>
    </row>
    <row r="13" customFormat="false" ht="23.85" hidden="false" customHeight="false" outlineLevel="0" collapsed="false">
      <c r="A13" s="18" t="s">
        <v>89</v>
      </c>
      <c r="B13" s="18" t="s">
        <v>90</v>
      </c>
      <c r="C13" s="18" t="s">
        <v>91</v>
      </c>
      <c r="D13" s="18" t="s">
        <v>52</v>
      </c>
      <c r="E13" s="18" t="s">
        <v>92</v>
      </c>
      <c r="F13" s="18" t="s">
        <v>93</v>
      </c>
      <c r="G13" s="18" t="s">
        <v>94</v>
      </c>
    </row>
    <row r="14" customFormat="false" ht="15" hidden="false" customHeight="false" outlineLevel="0" collapsed="false">
      <c r="A14" s="18" t="s">
        <v>95</v>
      </c>
      <c r="B14" s="18" t="s">
        <v>96</v>
      </c>
      <c r="C14" s="18" t="s">
        <v>91</v>
      </c>
      <c r="D14" s="18" t="s">
        <v>97</v>
      </c>
      <c r="E14" s="18" t="s">
        <v>98</v>
      </c>
      <c r="F14" s="18" t="s">
        <v>99</v>
      </c>
      <c r="G14" s="18" t="s">
        <v>100</v>
      </c>
    </row>
    <row r="15" customFormat="false" ht="15" hidden="false" customHeight="false" outlineLevel="0" collapsed="false">
      <c r="A15" s="18" t="s">
        <v>101</v>
      </c>
      <c r="B15" s="18" t="s">
        <v>102</v>
      </c>
      <c r="C15" s="18" t="s">
        <v>44</v>
      </c>
      <c r="D15" s="18" t="s">
        <v>52</v>
      </c>
      <c r="E15" s="18" t="s">
        <v>103</v>
      </c>
      <c r="F15" s="18" t="s">
        <v>104</v>
      </c>
      <c r="G15" s="18" t="s">
        <v>105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5"/>
    <col collapsed="false" customWidth="true" hidden="false" outlineLevel="0" max="12" min="11" style="0" width="34"/>
  </cols>
  <sheetData>
    <row r="1" customFormat="false" ht="24" hidden="false" customHeight="true" outlineLevel="0" collapsed="false">
      <c r="A1" s="15" t="s">
        <v>106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0" hidden="false" customHeight="true" outlineLevel="0" collapsed="false">
      <c r="A3" s="17" t="s">
        <v>107</v>
      </c>
      <c r="B3" s="17" t="s">
        <v>108</v>
      </c>
      <c r="C3" s="17" t="s">
        <v>109</v>
      </c>
      <c r="D3" s="17" t="s">
        <v>110</v>
      </c>
      <c r="E3" s="17" t="s">
        <v>111</v>
      </c>
      <c r="F3" s="17" t="s">
        <v>112</v>
      </c>
      <c r="G3" s="17" t="s">
        <v>113</v>
      </c>
      <c r="H3" s="17" t="s">
        <v>114</v>
      </c>
      <c r="I3" s="17" t="s">
        <v>115</v>
      </c>
      <c r="J3" s="17" t="s">
        <v>116</v>
      </c>
      <c r="K3" s="17" t="s">
        <v>117</v>
      </c>
      <c r="L3" s="17" t="s">
        <v>118</v>
      </c>
    </row>
    <row r="4" customFormat="false" ht="15" hidden="false" customHeight="false" outlineLevel="0" collapsed="false">
      <c r="A4" s="18" t="s">
        <v>119</v>
      </c>
      <c r="B4" s="18" t="s">
        <v>120</v>
      </c>
      <c r="C4" s="18" t="s">
        <v>121</v>
      </c>
      <c r="D4" s="18" t="s">
        <v>122</v>
      </c>
      <c r="E4" s="18" t="s">
        <v>123</v>
      </c>
      <c r="F4" s="18" t="s">
        <v>124</v>
      </c>
      <c r="G4" s="18" t="s">
        <v>125</v>
      </c>
      <c r="H4" s="19" t="s">
        <v>23</v>
      </c>
      <c r="I4" s="18" t="s">
        <v>126</v>
      </c>
      <c r="J4" s="18" t="s">
        <v>127</v>
      </c>
      <c r="K4" s="18" t="s">
        <v>128</v>
      </c>
      <c r="L4" s="18" t="s">
        <v>129</v>
      </c>
    </row>
    <row r="5" customFormat="false" ht="15" hidden="false" customHeight="false" outlineLevel="0" collapsed="false">
      <c r="A5" s="18" t="s">
        <v>130</v>
      </c>
      <c r="B5" s="18" t="s">
        <v>120</v>
      </c>
      <c r="C5" s="18" t="s">
        <v>131</v>
      </c>
      <c r="D5" s="18" t="s">
        <v>132</v>
      </c>
      <c r="E5" s="18" t="s">
        <v>123</v>
      </c>
      <c r="F5" s="18" t="s">
        <v>124</v>
      </c>
      <c r="G5" s="18" t="s">
        <v>125</v>
      </c>
      <c r="H5" s="20" t="s">
        <v>17</v>
      </c>
      <c r="I5" s="18" t="s">
        <v>133</v>
      </c>
      <c r="J5" s="18" t="s">
        <v>127</v>
      </c>
      <c r="K5" s="18" t="s">
        <v>134</v>
      </c>
      <c r="L5" s="18" t="s">
        <v>135</v>
      </c>
    </row>
    <row r="6" customFormat="false" ht="15" hidden="false" customHeight="false" outlineLevel="0" collapsed="false">
      <c r="A6" s="18" t="s">
        <v>136</v>
      </c>
      <c r="B6" s="18" t="s">
        <v>120</v>
      </c>
      <c r="C6" s="18" t="s">
        <v>137</v>
      </c>
      <c r="D6" s="18" t="s">
        <v>138</v>
      </c>
      <c r="E6" s="18" t="s">
        <v>123</v>
      </c>
      <c r="F6" s="18" t="s">
        <v>124</v>
      </c>
      <c r="G6" s="18" t="s">
        <v>125</v>
      </c>
      <c r="H6" s="20" t="s">
        <v>17</v>
      </c>
      <c r="I6" s="18" t="s">
        <v>139</v>
      </c>
      <c r="J6" s="18" t="s">
        <v>127</v>
      </c>
      <c r="K6" s="18" t="s">
        <v>140</v>
      </c>
      <c r="L6" s="18" t="s">
        <v>141</v>
      </c>
    </row>
    <row r="7" customFormat="false" ht="15" hidden="false" customHeight="false" outlineLevel="0" collapsed="false">
      <c r="A7" s="18" t="s">
        <v>142</v>
      </c>
      <c r="B7" s="18" t="s">
        <v>120</v>
      </c>
      <c r="C7" s="18" t="s">
        <v>143</v>
      </c>
      <c r="D7" s="18" t="s">
        <v>144</v>
      </c>
      <c r="E7" s="18" t="s">
        <v>123</v>
      </c>
      <c r="F7" s="18" t="s">
        <v>124</v>
      </c>
      <c r="G7" s="18" t="s">
        <v>125</v>
      </c>
      <c r="H7" s="20" t="s">
        <v>17</v>
      </c>
      <c r="I7" s="18" t="s">
        <v>139</v>
      </c>
      <c r="J7" s="18" t="s">
        <v>145</v>
      </c>
      <c r="K7" s="18" t="s">
        <v>146</v>
      </c>
      <c r="L7" s="18" t="s">
        <v>147</v>
      </c>
    </row>
    <row r="8" customFormat="false" ht="15" hidden="false" customHeight="false" outlineLevel="0" collapsed="false">
      <c r="A8" s="18" t="s">
        <v>148</v>
      </c>
      <c r="B8" s="18" t="s">
        <v>120</v>
      </c>
      <c r="C8" s="18" t="s">
        <v>149</v>
      </c>
      <c r="D8" s="18" t="s">
        <v>150</v>
      </c>
      <c r="E8" s="18" t="s">
        <v>123</v>
      </c>
      <c r="F8" s="18" t="s">
        <v>124</v>
      </c>
      <c r="G8" s="18" t="s">
        <v>125</v>
      </c>
      <c r="H8" s="20" t="s">
        <v>17</v>
      </c>
      <c r="I8" s="18" t="s">
        <v>139</v>
      </c>
      <c r="J8" s="18" t="s">
        <v>145</v>
      </c>
      <c r="K8" s="18" t="s">
        <v>151</v>
      </c>
      <c r="L8" s="18"/>
    </row>
    <row r="9" customFormat="false" ht="15" hidden="false" customHeight="false" outlineLevel="0" collapsed="false">
      <c r="A9" s="18" t="s">
        <v>152</v>
      </c>
      <c r="B9" s="18" t="s">
        <v>120</v>
      </c>
      <c r="C9" s="18" t="s">
        <v>153</v>
      </c>
      <c r="D9" s="18" t="s">
        <v>154</v>
      </c>
      <c r="E9" s="18" t="s">
        <v>123</v>
      </c>
      <c r="F9" s="18" t="s">
        <v>124</v>
      </c>
      <c r="G9" s="18" t="s">
        <v>125</v>
      </c>
      <c r="H9" s="20" t="s">
        <v>17</v>
      </c>
      <c r="I9" s="18" t="s">
        <v>155</v>
      </c>
      <c r="J9" s="18" t="s">
        <v>127</v>
      </c>
      <c r="K9" s="18" t="s">
        <v>156</v>
      </c>
      <c r="L9" s="18" t="s">
        <v>157</v>
      </c>
    </row>
    <row r="10" customFormat="false" ht="15" hidden="false" customHeight="false" outlineLevel="0" collapsed="false">
      <c r="A10" s="18" t="s">
        <v>158</v>
      </c>
      <c r="B10" s="18" t="s">
        <v>120</v>
      </c>
      <c r="C10" s="18" t="s">
        <v>159</v>
      </c>
      <c r="D10" s="18" t="s">
        <v>160</v>
      </c>
      <c r="E10" s="18" t="s">
        <v>123</v>
      </c>
      <c r="F10" s="18" t="s">
        <v>161</v>
      </c>
      <c r="G10" s="18" t="s">
        <v>162</v>
      </c>
      <c r="H10" s="20" t="s">
        <v>17</v>
      </c>
      <c r="I10" s="18" t="s">
        <v>163</v>
      </c>
      <c r="J10" s="18" t="s">
        <v>127</v>
      </c>
      <c r="K10" s="18" t="s">
        <v>164</v>
      </c>
      <c r="L10" s="18" t="s">
        <v>165</v>
      </c>
    </row>
    <row r="11" customFormat="false" ht="15" hidden="false" customHeight="false" outlineLevel="0" collapsed="false">
      <c r="A11" s="18" t="s">
        <v>166</v>
      </c>
      <c r="B11" s="18" t="s">
        <v>120</v>
      </c>
      <c r="C11" s="18" t="s">
        <v>167</v>
      </c>
      <c r="D11" s="18" t="s">
        <v>168</v>
      </c>
      <c r="E11" s="18" t="s">
        <v>123</v>
      </c>
      <c r="F11" s="18" t="s">
        <v>169</v>
      </c>
      <c r="G11" s="18" t="s">
        <v>162</v>
      </c>
      <c r="H11" s="20" t="s">
        <v>17</v>
      </c>
      <c r="I11" s="18" t="s">
        <v>170</v>
      </c>
      <c r="J11" s="18" t="s">
        <v>127</v>
      </c>
      <c r="K11" s="18" t="s">
        <v>171</v>
      </c>
      <c r="L11" s="18" t="s">
        <v>172</v>
      </c>
    </row>
    <row r="12" customFormat="false" ht="15" hidden="false" customHeight="false" outlineLevel="0" collapsed="false">
      <c r="A12" s="18" t="s">
        <v>173</v>
      </c>
      <c r="B12" s="18" t="s">
        <v>120</v>
      </c>
      <c r="C12" s="18" t="s">
        <v>174</v>
      </c>
      <c r="D12" s="18" t="s">
        <v>175</v>
      </c>
      <c r="E12" s="18" t="s">
        <v>123</v>
      </c>
      <c r="F12" s="18" t="s">
        <v>169</v>
      </c>
      <c r="G12" s="18" t="s">
        <v>162</v>
      </c>
      <c r="H12" s="20" t="s">
        <v>17</v>
      </c>
      <c r="I12" s="18" t="s">
        <v>170</v>
      </c>
      <c r="J12" s="18" t="s">
        <v>145</v>
      </c>
      <c r="K12" s="18" t="s">
        <v>171</v>
      </c>
      <c r="L12" s="18"/>
    </row>
    <row r="13" customFormat="false" ht="15" hidden="false" customHeight="false" outlineLevel="0" collapsed="false">
      <c r="A13" s="18" t="s">
        <v>176</v>
      </c>
      <c r="B13" s="18" t="s">
        <v>120</v>
      </c>
      <c r="C13" s="18" t="s">
        <v>177</v>
      </c>
      <c r="D13" s="18" t="s">
        <v>178</v>
      </c>
      <c r="E13" s="18" t="s">
        <v>123</v>
      </c>
      <c r="F13" s="18" t="s">
        <v>124</v>
      </c>
      <c r="G13" s="18" t="s">
        <v>125</v>
      </c>
      <c r="H13" s="20" t="s">
        <v>17</v>
      </c>
      <c r="I13" s="18" t="s">
        <v>179</v>
      </c>
      <c r="J13" s="18" t="s">
        <v>127</v>
      </c>
      <c r="K13" s="18" t="s">
        <v>180</v>
      </c>
      <c r="L13" s="18" t="s">
        <v>181</v>
      </c>
    </row>
    <row r="14" customFormat="false" ht="15" hidden="false" customHeight="false" outlineLevel="0" collapsed="false">
      <c r="A14" s="18" t="s">
        <v>182</v>
      </c>
      <c r="B14" s="18" t="s">
        <v>120</v>
      </c>
      <c r="C14" s="18" t="s">
        <v>183</v>
      </c>
      <c r="D14" s="18" t="s">
        <v>184</v>
      </c>
      <c r="E14" s="18" t="s">
        <v>123</v>
      </c>
      <c r="F14" s="18" t="s">
        <v>185</v>
      </c>
      <c r="G14" s="18" t="s">
        <v>125</v>
      </c>
      <c r="H14" s="20" t="s">
        <v>17</v>
      </c>
      <c r="I14" s="18" t="s">
        <v>186</v>
      </c>
      <c r="J14" s="18" t="s">
        <v>127</v>
      </c>
      <c r="K14" s="18" t="s">
        <v>125</v>
      </c>
      <c r="L14" s="18"/>
    </row>
    <row r="15" customFormat="false" ht="15" hidden="false" customHeight="false" outlineLevel="0" collapsed="false">
      <c r="A15" s="18" t="s">
        <v>187</v>
      </c>
      <c r="B15" s="18" t="s">
        <v>188</v>
      </c>
      <c r="C15" s="18" t="s">
        <v>189</v>
      </c>
      <c r="D15" s="18" t="s">
        <v>190</v>
      </c>
      <c r="E15" s="18" t="s">
        <v>76</v>
      </c>
      <c r="F15" s="18" t="s">
        <v>124</v>
      </c>
      <c r="G15" s="18" t="s">
        <v>125</v>
      </c>
      <c r="H15" s="21" t="s">
        <v>19</v>
      </c>
      <c r="I15" s="18" t="s">
        <v>191</v>
      </c>
      <c r="J15" s="18" t="s">
        <v>127</v>
      </c>
      <c r="K15" s="18" t="s">
        <v>125</v>
      </c>
      <c r="L15" s="18" t="s">
        <v>192</v>
      </c>
    </row>
    <row r="16" customFormat="false" ht="15" hidden="false" customHeight="false" outlineLevel="0" collapsed="false">
      <c r="A16" s="18" t="s">
        <v>193</v>
      </c>
      <c r="B16" s="18" t="s">
        <v>188</v>
      </c>
      <c r="C16" s="18" t="s">
        <v>194</v>
      </c>
      <c r="D16" s="18" t="s">
        <v>195</v>
      </c>
      <c r="E16" s="18" t="s">
        <v>76</v>
      </c>
      <c r="F16" s="18" t="s">
        <v>169</v>
      </c>
      <c r="G16" s="18" t="s">
        <v>162</v>
      </c>
      <c r="H16" s="20" t="s">
        <v>17</v>
      </c>
      <c r="I16" s="18" t="s">
        <v>196</v>
      </c>
      <c r="J16" s="18" t="s">
        <v>145</v>
      </c>
      <c r="K16" s="18" t="s">
        <v>171</v>
      </c>
      <c r="L16" s="18"/>
    </row>
    <row r="17" customFormat="false" ht="15" hidden="false" customHeight="false" outlineLevel="0" collapsed="false">
      <c r="A17" s="18" t="s">
        <v>197</v>
      </c>
      <c r="B17" s="18" t="s">
        <v>188</v>
      </c>
      <c r="C17" s="18" t="s">
        <v>198</v>
      </c>
      <c r="D17" s="18" t="s">
        <v>199</v>
      </c>
      <c r="E17" s="18" t="s">
        <v>76</v>
      </c>
      <c r="F17" s="18" t="s">
        <v>169</v>
      </c>
      <c r="G17" s="18" t="s">
        <v>162</v>
      </c>
      <c r="H17" s="20" t="s">
        <v>17</v>
      </c>
      <c r="I17" s="18" t="s">
        <v>196</v>
      </c>
      <c r="J17" s="18" t="s">
        <v>145</v>
      </c>
      <c r="K17" s="18" t="s">
        <v>171</v>
      </c>
      <c r="L17" s="18"/>
    </row>
    <row r="18" customFormat="false" ht="15" hidden="false" customHeight="false" outlineLevel="0" collapsed="false">
      <c r="A18" s="18" t="s">
        <v>200</v>
      </c>
      <c r="B18" s="18" t="s">
        <v>188</v>
      </c>
      <c r="C18" s="18" t="s">
        <v>201</v>
      </c>
      <c r="D18" s="18" t="s">
        <v>202</v>
      </c>
      <c r="E18" s="18" t="s">
        <v>76</v>
      </c>
      <c r="F18" s="18" t="s">
        <v>124</v>
      </c>
      <c r="G18" s="18" t="s">
        <v>125</v>
      </c>
      <c r="H18" s="20" t="s">
        <v>17</v>
      </c>
      <c r="I18" s="18" t="s">
        <v>196</v>
      </c>
      <c r="J18" s="18" t="s">
        <v>127</v>
      </c>
      <c r="K18" s="18" t="s">
        <v>156</v>
      </c>
      <c r="L18" s="18"/>
    </row>
    <row r="19" customFormat="false" ht="15" hidden="false" customHeight="false" outlineLevel="0" collapsed="false">
      <c r="A19" s="18" t="s">
        <v>203</v>
      </c>
      <c r="B19" s="18" t="s">
        <v>188</v>
      </c>
      <c r="C19" s="18" t="s">
        <v>204</v>
      </c>
      <c r="D19" s="18" t="s">
        <v>205</v>
      </c>
      <c r="E19" s="18" t="s">
        <v>76</v>
      </c>
      <c r="F19" s="18" t="s">
        <v>169</v>
      </c>
      <c r="G19" s="18" t="s">
        <v>206</v>
      </c>
      <c r="H19" s="20" t="s">
        <v>17</v>
      </c>
      <c r="I19" s="18" t="s">
        <v>196</v>
      </c>
      <c r="J19" s="18" t="s">
        <v>127</v>
      </c>
      <c r="K19" s="18" t="s">
        <v>171</v>
      </c>
      <c r="L19" s="18" t="s">
        <v>207</v>
      </c>
    </row>
    <row r="20" customFormat="false" ht="15" hidden="false" customHeight="false" outlineLevel="0" collapsed="false">
      <c r="A20" s="18" t="s">
        <v>208</v>
      </c>
      <c r="B20" s="18" t="s">
        <v>188</v>
      </c>
      <c r="C20" s="18" t="s">
        <v>209</v>
      </c>
      <c r="D20" s="18" t="s">
        <v>210</v>
      </c>
      <c r="E20" s="18" t="s">
        <v>76</v>
      </c>
      <c r="F20" s="18" t="s">
        <v>211</v>
      </c>
      <c r="G20" s="18" t="s">
        <v>125</v>
      </c>
      <c r="H20" s="19" t="s">
        <v>23</v>
      </c>
      <c r="I20" s="18" t="s">
        <v>212</v>
      </c>
      <c r="J20" s="18" t="s">
        <v>145</v>
      </c>
      <c r="K20" s="18" t="s">
        <v>125</v>
      </c>
      <c r="L20" s="18"/>
    </row>
    <row r="21" customFormat="false" ht="15" hidden="false" customHeight="false" outlineLevel="0" collapsed="false">
      <c r="A21" s="18" t="s">
        <v>213</v>
      </c>
      <c r="B21" s="18" t="s">
        <v>188</v>
      </c>
      <c r="C21" s="18" t="s">
        <v>214</v>
      </c>
      <c r="D21" s="18" t="s">
        <v>215</v>
      </c>
      <c r="E21" s="18" t="s">
        <v>76</v>
      </c>
      <c r="F21" s="18" t="s">
        <v>216</v>
      </c>
      <c r="G21" s="18" t="s">
        <v>125</v>
      </c>
      <c r="H21" s="21" t="s">
        <v>19</v>
      </c>
      <c r="I21" s="18" t="s">
        <v>217</v>
      </c>
      <c r="J21" s="18" t="s">
        <v>145</v>
      </c>
      <c r="K21" s="18" t="s">
        <v>125</v>
      </c>
      <c r="L21" s="18" t="s">
        <v>218</v>
      </c>
    </row>
    <row r="22" customFormat="false" ht="15" hidden="false" customHeight="false" outlineLevel="0" collapsed="false">
      <c r="A22" s="18" t="s">
        <v>219</v>
      </c>
      <c r="B22" s="18" t="s">
        <v>220</v>
      </c>
      <c r="C22" s="18" t="s">
        <v>221</v>
      </c>
      <c r="D22" s="18" t="s">
        <v>222</v>
      </c>
      <c r="E22" s="18" t="s">
        <v>47</v>
      </c>
      <c r="F22" s="18" t="s">
        <v>223</v>
      </c>
      <c r="G22" s="18" t="s">
        <v>125</v>
      </c>
      <c r="H22" s="21" t="s">
        <v>19</v>
      </c>
      <c r="I22" s="18" t="s">
        <v>224</v>
      </c>
      <c r="J22" s="18" t="s">
        <v>127</v>
      </c>
      <c r="K22" s="18" t="s">
        <v>225</v>
      </c>
      <c r="L22" s="18"/>
    </row>
    <row r="23" customFormat="false" ht="35.05" hidden="false" customHeight="false" outlineLevel="0" collapsed="false">
      <c r="A23" s="18" t="s">
        <v>226</v>
      </c>
      <c r="B23" s="18" t="s">
        <v>220</v>
      </c>
      <c r="C23" s="18" t="s">
        <v>227</v>
      </c>
      <c r="D23" s="18" t="s">
        <v>228</v>
      </c>
      <c r="E23" s="18" t="s">
        <v>47</v>
      </c>
      <c r="F23" s="18" t="s">
        <v>223</v>
      </c>
      <c r="G23" s="18" t="s">
        <v>125</v>
      </c>
      <c r="H23" s="21" t="s">
        <v>19</v>
      </c>
      <c r="I23" s="18" t="s">
        <v>224</v>
      </c>
      <c r="J23" s="18" t="s">
        <v>145</v>
      </c>
      <c r="K23" s="18" t="s">
        <v>229</v>
      </c>
      <c r="L23" s="18"/>
    </row>
    <row r="24" customFormat="false" ht="15" hidden="false" customHeight="false" outlineLevel="0" collapsed="false">
      <c r="A24" s="18" t="s">
        <v>230</v>
      </c>
      <c r="B24" s="18" t="s">
        <v>220</v>
      </c>
      <c r="C24" s="18" t="s">
        <v>231</v>
      </c>
      <c r="D24" s="18" t="s">
        <v>232</v>
      </c>
      <c r="E24" s="18" t="s">
        <v>47</v>
      </c>
      <c r="F24" s="18" t="s">
        <v>124</v>
      </c>
      <c r="G24" s="18" t="s">
        <v>125</v>
      </c>
      <c r="H24" s="20" t="s">
        <v>17</v>
      </c>
      <c r="I24" s="18" t="s">
        <v>233</v>
      </c>
      <c r="J24" s="18" t="s">
        <v>127</v>
      </c>
      <c r="K24" s="18" t="s">
        <v>234</v>
      </c>
      <c r="L24" s="18" t="s">
        <v>235</v>
      </c>
    </row>
    <row r="25" customFormat="false" ht="15" hidden="false" customHeight="false" outlineLevel="0" collapsed="false">
      <c r="A25" s="18" t="s">
        <v>236</v>
      </c>
      <c r="B25" s="18" t="s">
        <v>220</v>
      </c>
      <c r="C25" s="18" t="s">
        <v>237</v>
      </c>
      <c r="D25" s="18" t="s">
        <v>238</v>
      </c>
      <c r="E25" s="18" t="s">
        <v>47</v>
      </c>
      <c r="F25" s="18" t="s">
        <v>124</v>
      </c>
      <c r="G25" s="18" t="s">
        <v>125</v>
      </c>
      <c r="H25" s="20" t="s">
        <v>17</v>
      </c>
      <c r="I25" s="18" t="s">
        <v>233</v>
      </c>
      <c r="J25" s="18" t="s">
        <v>127</v>
      </c>
      <c r="K25" s="18" t="s">
        <v>234</v>
      </c>
      <c r="L25" s="18"/>
    </row>
    <row r="26" customFormat="false" ht="15" hidden="false" customHeight="false" outlineLevel="0" collapsed="false">
      <c r="A26" s="18" t="s">
        <v>239</v>
      </c>
      <c r="B26" s="18" t="s">
        <v>220</v>
      </c>
      <c r="C26" s="18" t="s">
        <v>240</v>
      </c>
      <c r="D26" s="18" t="s">
        <v>241</v>
      </c>
      <c r="E26" s="18" t="s">
        <v>47</v>
      </c>
      <c r="F26" s="18" t="s">
        <v>124</v>
      </c>
      <c r="G26" s="18" t="s">
        <v>125</v>
      </c>
      <c r="H26" s="20" t="s">
        <v>17</v>
      </c>
      <c r="I26" s="18" t="s">
        <v>233</v>
      </c>
      <c r="J26" s="18" t="s">
        <v>127</v>
      </c>
      <c r="K26" s="18" t="s">
        <v>125</v>
      </c>
      <c r="L26" s="18"/>
    </row>
    <row r="27" customFormat="false" ht="15" hidden="false" customHeight="false" outlineLevel="0" collapsed="false">
      <c r="A27" s="18" t="s">
        <v>242</v>
      </c>
      <c r="B27" s="18" t="s">
        <v>220</v>
      </c>
      <c r="C27" s="18" t="s">
        <v>243</v>
      </c>
      <c r="D27" s="18" t="s">
        <v>244</v>
      </c>
      <c r="E27" s="18" t="s">
        <v>47</v>
      </c>
      <c r="F27" s="18" t="s">
        <v>124</v>
      </c>
      <c r="G27" s="18" t="s">
        <v>125</v>
      </c>
      <c r="H27" s="20" t="s">
        <v>17</v>
      </c>
      <c r="I27" s="18" t="s">
        <v>233</v>
      </c>
      <c r="J27" s="18" t="s">
        <v>127</v>
      </c>
      <c r="K27" s="18" t="s">
        <v>125</v>
      </c>
      <c r="L27" s="18"/>
    </row>
    <row r="28" customFormat="false" ht="15" hidden="false" customHeight="false" outlineLevel="0" collapsed="false">
      <c r="A28" s="18" t="s">
        <v>245</v>
      </c>
      <c r="B28" s="18" t="s">
        <v>220</v>
      </c>
      <c r="C28" s="18" t="s">
        <v>246</v>
      </c>
      <c r="D28" s="18" t="s">
        <v>247</v>
      </c>
      <c r="E28" s="18" t="s">
        <v>47</v>
      </c>
      <c r="F28" s="18" t="s">
        <v>124</v>
      </c>
      <c r="G28" s="18" t="s">
        <v>125</v>
      </c>
      <c r="H28" s="20" t="s">
        <v>17</v>
      </c>
      <c r="I28" s="18" t="s">
        <v>233</v>
      </c>
      <c r="J28" s="18" t="s">
        <v>145</v>
      </c>
      <c r="K28" s="18" t="s">
        <v>125</v>
      </c>
      <c r="L28" s="18"/>
    </row>
    <row r="29" customFormat="false" ht="15" hidden="false" customHeight="false" outlineLevel="0" collapsed="false">
      <c r="A29" s="18" t="s">
        <v>248</v>
      </c>
      <c r="B29" s="18" t="s">
        <v>220</v>
      </c>
      <c r="C29" s="18" t="s">
        <v>249</v>
      </c>
      <c r="D29" s="18" t="s">
        <v>250</v>
      </c>
      <c r="E29" s="18" t="s">
        <v>47</v>
      </c>
      <c r="F29" s="18" t="s">
        <v>124</v>
      </c>
      <c r="G29" s="18" t="s">
        <v>125</v>
      </c>
      <c r="H29" s="20" t="s">
        <v>17</v>
      </c>
      <c r="I29" s="18" t="s">
        <v>233</v>
      </c>
      <c r="J29" s="18" t="s">
        <v>145</v>
      </c>
      <c r="K29" s="18" t="s">
        <v>125</v>
      </c>
      <c r="L29" s="18"/>
    </row>
    <row r="30" customFormat="false" ht="15" hidden="false" customHeight="false" outlineLevel="0" collapsed="false">
      <c r="A30" s="18" t="s">
        <v>251</v>
      </c>
      <c r="B30" s="18" t="s">
        <v>220</v>
      </c>
      <c r="C30" s="18" t="s">
        <v>252</v>
      </c>
      <c r="D30" s="18" t="s">
        <v>253</v>
      </c>
      <c r="E30" s="18" t="s">
        <v>47</v>
      </c>
      <c r="F30" s="18" t="s">
        <v>124</v>
      </c>
      <c r="G30" s="18" t="s">
        <v>125</v>
      </c>
      <c r="H30" s="20" t="s">
        <v>17</v>
      </c>
      <c r="I30" s="18" t="s">
        <v>254</v>
      </c>
      <c r="J30" s="18" t="s">
        <v>127</v>
      </c>
      <c r="K30" s="18" t="s">
        <v>255</v>
      </c>
      <c r="L30" s="18" t="s">
        <v>256</v>
      </c>
    </row>
    <row r="31" customFormat="false" ht="15" hidden="false" customHeight="false" outlineLevel="0" collapsed="false">
      <c r="A31" s="18" t="s">
        <v>257</v>
      </c>
      <c r="B31" s="18" t="s">
        <v>220</v>
      </c>
      <c r="C31" s="18" t="s">
        <v>258</v>
      </c>
      <c r="D31" s="18" t="s">
        <v>259</v>
      </c>
      <c r="E31" s="18" t="s">
        <v>47</v>
      </c>
      <c r="F31" s="18" t="s">
        <v>124</v>
      </c>
      <c r="G31" s="18" t="s">
        <v>125</v>
      </c>
      <c r="H31" s="20" t="s">
        <v>17</v>
      </c>
      <c r="I31" s="18" t="s">
        <v>260</v>
      </c>
      <c r="J31" s="18" t="s">
        <v>145</v>
      </c>
      <c r="K31" s="18" t="s">
        <v>125</v>
      </c>
      <c r="L31" s="18"/>
    </row>
    <row r="32" customFormat="false" ht="15" hidden="false" customHeight="false" outlineLevel="0" collapsed="false">
      <c r="A32" s="18" t="s">
        <v>261</v>
      </c>
      <c r="B32" s="18" t="s">
        <v>220</v>
      </c>
      <c r="C32" s="18" t="s">
        <v>262</v>
      </c>
      <c r="D32" s="18" t="s">
        <v>263</v>
      </c>
      <c r="E32" s="18" t="s">
        <v>47</v>
      </c>
      <c r="F32" s="18" t="s">
        <v>169</v>
      </c>
      <c r="G32" s="18" t="s">
        <v>162</v>
      </c>
      <c r="H32" s="20" t="s">
        <v>17</v>
      </c>
      <c r="I32" s="18" t="s">
        <v>264</v>
      </c>
      <c r="J32" s="18" t="s">
        <v>145</v>
      </c>
      <c r="K32" s="18" t="s">
        <v>265</v>
      </c>
      <c r="L32" s="18" t="s">
        <v>266</v>
      </c>
    </row>
    <row r="33" customFormat="false" ht="15" hidden="false" customHeight="false" outlineLevel="0" collapsed="false">
      <c r="A33" s="18" t="s">
        <v>267</v>
      </c>
      <c r="B33" s="18" t="s">
        <v>220</v>
      </c>
      <c r="C33" s="18" t="s">
        <v>268</v>
      </c>
      <c r="D33" s="18" t="s">
        <v>269</v>
      </c>
      <c r="E33" s="18" t="s">
        <v>47</v>
      </c>
      <c r="F33" s="18" t="s">
        <v>169</v>
      </c>
      <c r="G33" s="18" t="s">
        <v>162</v>
      </c>
      <c r="H33" s="21" t="s">
        <v>19</v>
      </c>
      <c r="I33" s="18" t="s">
        <v>224</v>
      </c>
      <c r="J33" s="18" t="s">
        <v>127</v>
      </c>
      <c r="K33" s="18" t="s">
        <v>270</v>
      </c>
      <c r="L33" s="18" t="s">
        <v>271</v>
      </c>
    </row>
    <row r="34" customFormat="false" ht="23.85" hidden="false" customHeight="false" outlineLevel="0" collapsed="false">
      <c r="A34" s="18" t="s">
        <v>272</v>
      </c>
      <c r="B34" s="18" t="s">
        <v>220</v>
      </c>
      <c r="C34" s="18" t="s">
        <v>273</v>
      </c>
      <c r="D34" s="18" t="s">
        <v>274</v>
      </c>
      <c r="E34" s="18" t="s">
        <v>47</v>
      </c>
      <c r="F34" s="18" t="s">
        <v>169</v>
      </c>
      <c r="G34" s="18" t="s">
        <v>162</v>
      </c>
      <c r="H34" s="21" t="s">
        <v>19</v>
      </c>
      <c r="I34" s="18" t="s">
        <v>224</v>
      </c>
      <c r="J34" s="18" t="s">
        <v>145</v>
      </c>
      <c r="K34" s="18" t="s">
        <v>275</v>
      </c>
      <c r="L34" s="18" t="s">
        <v>276</v>
      </c>
    </row>
    <row r="35" customFormat="false" ht="15" hidden="false" customHeight="false" outlineLevel="0" collapsed="false">
      <c r="A35" s="18" t="s">
        <v>277</v>
      </c>
      <c r="B35" s="18" t="s">
        <v>220</v>
      </c>
      <c r="C35" s="18" t="s">
        <v>278</v>
      </c>
      <c r="D35" s="18" t="s">
        <v>279</v>
      </c>
      <c r="E35" s="18" t="s">
        <v>47</v>
      </c>
      <c r="F35" s="18" t="s">
        <v>169</v>
      </c>
      <c r="G35" s="18" t="s">
        <v>162</v>
      </c>
      <c r="H35" s="21" t="s">
        <v>19</v>
      </c>
      <c r="I35" s="18" t="s">
        <v>224</v>
      </c>
      <c r="J35" s="18" t="s">
        <v>145</v>
      </c>
      <c r="K35" s="18" t="s">
        <v>280</v>
      </c>
      <c r="L35" s="18"/>
    </row>
    <row r="36" customFormat="false" ht="15" hidden="false" customHeight="false" outlineLevel="0" collapsed="false">
      <c r="A36" s="18" t="s">
        <v>281</v>
      </c>
      <c r="B36" s="18" t="s">
        <v>220</v>
      </c>
      <c r="C36" s="18" t="s">
        <v>282</v>
      </c>
      <c r="D36" s="18" t="s">
        <v>283</v>
      </c>
      <c r="E36" s="18" t="s">
        <v>47</v>
      </c>
      <c r="F36" s="18" t="s">
        <v>124</v>
      </c>
      <c r="G36" s="18" t="s">
        <v>125</v>
      </c>
      <c r="H36" s="21" t="s">
        <v>19</v>
      </c>
      <c r="I36" s="18" t="s">
        <v>284</v>
      </c>
      <c r="J36" s="18" t="s">
        <v>127</v>
      </c>
      <c r="K36" s="18" t="s">
        <v>285</v>
      </c>
      <c r="L36" s="18" t="s">
        <v>286</v>
      </c>
    </row>
    <row r="37" customFormat="false" ht="23.85" hidden="false" customHeight="false" outlineLevel="0" collapsed="false">
      <c r="A37" s="18" t="s">
        <v>287</v>
      </c>
      <c r="B37" s="18" t="s">
        <v>220</v>
      </c>
      <c r="C37" s="18" t="s">
        <v>288</v>
      </c>
      <c r="D37" s="18" t="s">
        <v>289</v>
      </c>
      <c r="E37" s="18" t="s">
        <v>47</v>
      </c>
      <c r="F37" s="18" t="s">
        <v>216</v>
      </c>
      <c r="G37" s="18" t="s">
        <v>125</v>
      </c>
      <c r="H37" s="20" t="s">
        <v>17</v>
      </c>
      <c r="I37" s="18" t="s">
        <v>290</v>
      </c>
      <c r="J37" s="18" t="s">
        <v>145</v>
      </c>
      <c r="K37" s="18" t="s">
        <v>291</v>
      </c>
      <c r="L37" s="18"/>
    </row>
    <row r="38" customFormat="false" ht="15" hidden="false" customHeight="false" outlineLevel="0" collapsed="false">
      <c r="A38" s="18" t="s">
        <v>292</v>
      </c>
      <c r="B38" s="18" t="s">
        <v>220</v>
      </c>
      <c r="C38" s="18" t="s">
        <v>293</v>
      </c>
      <c r="D38" s="18" t="s">
        <v>294</v>
      </c>
      <c r="E38" s="18" t="s">
        <v>47</v>
      </c>
      <c r="F38" s="18" t="s">
        <v>216</v>
      </c>
      <c r="G38" s="18" t="s">
        <v>125</v>
      </c>
      <c r="H38" s="21" t="s">
        <v>19</v>
      </c>
      <c r="I38" s="18" t="s">
        <v>295</v>
      </c>
      <c r="J38" s="18" t="s">
        <v>127</v>
      </c>
      <c r="K38" s="18" t="s">
        <v>296</v>
      </c>
      <c r="L38" s="18"/>
    </row>
    <row r="39" customFormat="false" ht="15" hidden="false" customHeight="false" outlineLevel="0" collapsed="false">
      <c r="A39" s="18" t="s">
        <v>297</v>
      </c>
      <c r="B39" s="18" t="s">
        <v>220</v>
      </c>
      <c r="C39" s="18" t="s">
        <v>298</v>
      </c>
      <c r="D39" s="18" t="s">
        <v>299</v>
      </c>
      <c r="E39" s="18" t="s">
        <v>47</v>
      </c>
      <c r="F39" s="18" t="s">
        <v>223</v>
      </c>
      <c r="G39" s="18" t="s">
        <v>125</v>
      </c>
      <c r="H39" s="21" t="s">
        <v>19</v>
      </c>
      <c r="I39" s="18" t="s">
        <v>300</v>
      </c>
      <c r="J39" s="18" t="s">
        <v>127</v>
      </c>
      <c r="K39" s="18" t="s">
        <v>301</v>
      </c>
      <c r="L39" s="18" t="s">
        <v>302</v>
      </c>
    </row>
    <row r="40" customFormat="false" ht="15" hidden="false" customHeight="false" outlineLevel="0" collapsed="false">
      <c r="A40" s="18" t="s">
        <v>303</v>
      </c>
      <c r="B40" s="18" t="s">
        <v>220</v>
      </c>
      <c r="C40" s="18" t="s">
        <v>304</v>
      </c>
      <c r="D40" s="18" t="s">
        <v>305</v>
      </c>
      <c r="E40" s="18" t="s">
        <v>47</v>
      </c>
      <c r="F40" s="18" t="s">
        <v>124</v>
      </c>
      <c r="G40" s="18" t="s">
        <v>125</v>
      </c>
      <c r="H40" s="21" t="s">
        <v>19</v>
      </c>
      <c r="I40" s="18" t="s">
        <v>300</v>
      </c>
      <c r="J40" s="18" t="s">
        <v>127</v>
      </c>
      <c r="K40" s="18" t="s">
        <v>306</v>
      </c>
      <c r="L40" s="18"/>
    </row>
    <row r="41" customFormat="false" ht="23.85" hidden="false" customHeight="false" outlineLevel="0" collapsed="false">
      <c r="A41" s="18" t="s">
        <v>307</v>
      </c>
      <c r="B41" s="18" t="s">
        <v>220</v>
      </c>
      <c r="C41" s="18" t="s">
        <v>308</v>
      </c>
      <c r="D41" s="18" t="s">
        <v>309</v>
      </c>
      <c r="E41" s="18" t="s">
        <v>47</v>
      </c>
      <c r="F41" s="18" t="s">
        <v>223</v>
      </c>
      <c r="G41" s="18" t="s">
        <v>125</v>
      </c>
      <c r="H41" s="21" t="s">
        <v>19</v>
      </c>
      <c r="I41" s="18" t="s">
        <v>310</v>
      </c>
      <c r="J41" s="18" t="s">
        <v>145</v>
      </c>
      <c r="K41" s="18" t="s">
        <v>311</v>
      </c>
      <c r="L41" s="18" t="s">
        <v>312</v>
      </c>
    </row>
    <row r="42" customFormat="false" ht="23.85" hidden="false" customHeight="false" outlineLevel="0" collapsed="false">
      <c r="A42" s="18" t="s">
        <v>313</v>
      </c>
      <c r="B42" s="18" t="s">
        <v>220</v>
      </c>
      <c r="C42" s="18" t="s">
        <v>314</v>
      </c>
      <c r="D42" s="18" t="s">
        <v>315</v>
      </c>
      <c r="E42" s="18" t="s">
        <v>47</v>
      </c>
      <c r="F42" s="18" t="s">
        <v>161</v>
      </c>
      <c r="G42" s="18" t="s">
        <v>162</v>
      </c>
      <c r="H42" s="20" t="s">
        <v>17</v>
      </c>
      <c r="I42" s="18" t="s">
        <v>260</v>
      </c>
      <c r="J42" s="18" t="s">
        <v>127</v>
      </c>
      <c r="K42" s="18" t="s">
        <v>316</v>
      </c>
      <c r="L42" s="18" t="s">
        <v>317</v>
      </c>
    </row>
    <row r="43" customFormat="false" ht="15" hidden="false" customHeight="false" outlineLevel="0" collapsed="false">
      <c r="A43" s="18" t="s">
        <v>318</v>
      </c>
      <c r="B43" s="18" t="s">
        <v>220</v>
      </c>
      <c r="C43" s="18" t="s">
        <v>319</v>
      </c>
      <c r="D43" s="18" t="s">
        <v>320</v>
      </c>
      <c r="E43" s="18" t="s">
        <v>47</v>
      </c>
      <c r="F43" s="18" t="s">
        <v>169</v>
      </c>
      <c r="G43" s="18" t="s">
        <v>162</v>
      </c>
      <c r="H43" s="20" t="s">
        <v>17</v>
      </c>
      <c r="I43" s="18" t="s">
        <v>321</v>
      </c>
      <c r="J43" s="18" t="s">
        <v>145</v>
      </c>
      <c r="K43" s="18" t="s">
        <v>322</v>
      </c>
      <c r="L43" s="18"/>
    </row>
    <row r="44" customFormat="false" ht="15" hidden="false" customHeight="false" outlineLevel="0" collapsed="false">
      <c r="A44" s="18" t="s">
        <v>323</v>
      </c>
      <c r="B44" s="18" t="s">
        <v>220</v>
      </c>
      <c r="C44" s="18" t="s">
        <v>324</v>
      </c>
      <c r="D44" s="18" t="s">
        <v>325</v>
      </c>
      <c r="E44" s="18" t="s">
        <v>47</v>
      </c>
      <c r="F44" s="18" t="s">
        <v>169</v>
      </c>
      <c r="G44" s="18" t="s">
        <v>326</v>
      </c>
      <c r="H44" s="21" t="s">
        <v>19</v>
      </c>
      <c r="I44" s="18" t="s">
        <v>224</v>
      </c>
      <c r="J44" s="18" t="s">
        <v>127</v>
      </c>
      <c r="K44" s="18" t="s">
        <v>327</v>
      </c>
      <c r="L44" s="18" t="s">
        <v>328</v>
      </c>
    </row>
    <row r="45" customFormat="false" ht="15" hidden="false" customHeight="false" outlineLevel="0" collapsed="false">
      <c r="A45" s="18" t="s">
        <v>329</v>
      </c>
      <c r="B45" s="18" t="s">
        <v>220</v>
      </c>
      <c r="C45" s="18" t="s">
        <v>330</v>
      </c>
      <c r="D45" s="18" t="s">
        <v>331</v>
      </c>
      <c r="E45" s="18" t="s">
        <v>47</v>
      </c>
      <c r="F45" s="18" t="s">
        <v>161</v>
      </c>
      <c r="G45" s="18" t="s">
        <v>162</v>
      </c>
      <c r="H45" s="21" t="s">
        <v>19</v>
      </c>
      <c r="I45" s="18" t="s">
        <v>295</v>
      </c>
      <c r="J45" s="18" t="s">
        <v>127</v>
      </c>
      <c r="K45" s="18" t="s">
        <v>332</v>
      </c>
      <c r="L45" s="18" t="s">
        <v>333</v>
      </c>
    </row>
    <row r="46" customFormat="false" ht="35.05" hidden="false" customHeight="false" outlineLevel="0" collapsed="false">
      <c r="A46" s="18" t="s">
        <v>334</v>
      </c>
      <c r="B46" s="18" t="s">
        <v>220</v>
      </c>
      <c r="C46" s="18" t="s">
        <v>335</v>
      </c>
      <c r="D46" s="18" t="s">
        <v>336</v>
      </c>
      <c r="E46" s="18" t="s">
        <v>47</v>
      </c>
      <c r="F46" s="18" t="s">
        <v>161</v>
      </c>
      <c r="G46" s="18" t="s">
        <v>125</v>
      </c>
      <c r="H46" s="21" t="s">
        <v>19</v>
      </c>
      <c r="I46" s="18" t="s">
        <v>295</v>
      </c>
      <c r="J46" s="18" t="s">
        <v>127</v>
      </c>
      <c r="K46" s="18" t="s">
        <v>337</v>
      </c>
      <c r="L46" s="18" t="s">
        <v>328</v>
      </c>
    </row>
    <row r="47" customFormat="false" ht="15" hidden="false" customHeight="false" outlineLevel="0" collapsed="false">
      <c r="A47" s="18" t="s">
        <v>338</v>
      </c>
      <c r="B47" s="18" t="s">
        <v>220</v>
      </c>
      <c r="C47" s="18" t="s">
        <v>339</v>
      </c>
      <c r="D47" s="18" t="s">
        <v>340</v>
      </c>
      <c r="E47" s="18" t="s">
        <v>47</v>
      </c>
      <c r="F47" s="18" t="s">
        <v>124</v>
      </c>
      <c r="G47" s="18" t="s">
        <v>125</v>
      </c>
      <c r="H47" s="21" t="s">
        <v>19</v>
      </c>
      <c r="I47" s="18" t="s">
        <v>295</v>
      </c>
      <c r="J47" s="18" t="s">
        <v>127</v>
      </c>
      <c r="K47" s="18" t="s">
        <v>286</v>
      </c>
      <c r="L47" s="18" t="s">
        <v>328</v>
      </c>
    </row>
    <row r="48" customFormat="false" ht="15" hidden="false" customHeight="false" outlineLevel="0" collapsed="false">
      <c r="A48" s="18" t="s">
        <v>341</v>
      </c>
      <c r="B48" s="18" t="s">
        <v>342</v>
      </c>
      <c r="C48" s="18" t="s">
        <v>183</v>
      </c>
      <c r="D48" s="18" t="s">
        <v>184</v>
      </c>
      <c r="E48" s="18" t="s">
        <v>343</v>
      </c>
      <c r="F48" s="18" t="s">
        <v>185</v>
      </c>
      <c r="G48" s="18" t="s">
        <v>125</v>
      </c>
      <c r="H48" s="20" t="s">
        <v>17</v>
      </c>
      <c r="I48" s="18" t="s">
        <v>186</v>
      </c>
      <c r="J48" s="18" t="s">
        <v>127</v>
      </c>
      <c r="K48" s="18" t="s">
        <v>125</v>
      </c>
      <c r="L48" s="18"/>
    </row>
    <row r="49" customFormat="false" ht="15" hidden="false" customHeight="false" outlineLevel="0" collapsed="false">
      <c r="A49" s="18" t="s">
        <v>344</v>
      </c>
      <c r="B49" s="18" t="s">
        <v>342</v>
      </c>
      <c r="C49" s="18" t="s">
        <v>177</v>
      </c>
      <c r="D49" s="18" t="s">
        <v>345</v>
      </c>
      <c r="E49" s="18" t="s">
        <v>343</v>
      </c>
      <c r="F49" s="18" t="s">
        <v>124</v>
      </c>
      <c r="G49" s="18" t="s">
        <v>125</v>
      </c>
      <c r="H49" s="20" t="s">
        <v>17</v>
      </c>
      <c r="I49" s="18" t="s">
        <v>186</v>
      </c>
      <c r="J49" s="18" t="s">
        <v>127</v>
      </c>
      <c r="K49" s="18" t="s">
        <v>180</v>
      </c>
      <c r="L49" s="18"/>
    </row>
    <row r="50" customFormat="false" ht="15" hidden="false" customHeight="false" outlineLevel="0" collapsed="false">
      <c r="A50" s="18" t="s">
        <v>346</v>
      </c>
      <c r="B50" s="18" t="s">
        <v>342</v>
      </c>
      <c r="C50" s="18" t="s">
        <v>347</v>
      </c>
      <c r="D50" s="18" t="s">
        <v>348</v>
      </c>
      <c r="E50" s="18" t="s">
        <v>343</v>
      </c>
      <c r="F50" s="18" t="s">
        <v>349</v>
      </c>
      <c r="G50" s="18" t="s">
        <v>125</v>
      </c>
      <c r="H50" s="22" t="s">
        <v>15</v>
      </c>
      <c r="I50" s="18" t="s">
        <v>350</v>
      </c>
      <c r="J50" s="18" t="s">
        <v>127</v>
      </c>
      <c r="K50" s="18" t="s">
        <v>351</v>
      </c>
      <c r="L50" s="18"/>
    </row>
    <row r="51" customFormat="false" ht="15" hidden="false" customHeight="false" outlineLevel="0" collapsed="false">
      <c r="A51" s="18" t="s">
        <v>352</v>
      </c>
      <c r="B51" s="18" t="s">
        <v>342</v>
      </c>
      <c r="C51" s="18" t="s">
        <v>353</v>
      </c>
      <c r="D51" s="18" t="s">
        <v>354</v>
      </c>
      <c r="E51" s="18" t="s">
        <v>123</v>
      </c>
      <c r="F51" s="18" t="s">
        <v>169</v>
      </c>
      <c r="G51" s="18" t="s">
        <v>162</v>
      </c>
      <c r="H51" s="20" t="s">
        <v>17</v>
      </c>
      <c r="I51" s="18" t="s">
        <v>355</v>
      </c>
      <c r="J51" s="18" t="s">
        <v>127</v>
      </c>
      <c r="K51" s="18" t="s">
        <v>125</v>
      </c>
      <c r="L51" s="18" t="s">
        <v>356</v>
      </c>
    </row>
    <row r="52" customFormat="false" ht="15" hidden="false" customHeight="false" outlineLevel="0" collapsed="false">
      <c r="A52" s="18" t="s">
        <v>357</v>
      </c>
      <c r="B52" s="18" t="s">
        <v>342</v>
      </c>
      <c r="C52" s="18" t="s">
        <v>358</v>
      </c>
      <c r="D52" s="18" t="s">
        <v>359</v>
      </c>
      <c r="E52" s="18" t="s">
        <v>123</v>
      </c>
      <c r="F52" s="18" t="s">
        <v>169</v>
      </c>
      <c r="G52" s="18" t="s">
        <v>162</v>
      </c>
      <c r="H52" s="20" t="s">
        <v>17</v>
      </c>
      <c r="I52" s="18" t="s">
        <v>355</v>
      </c>
      <c r="J52" s="18" t="s">
        <v>127</v>
      </c>
      <c r="K52" s="18" t="s">
        <v>125</v>
      </c>
      <c r="L52" s="18" t="s">
        <v>360</v>
      </c>
    </row>
    <row r="53" customFormat="false" ht="15" hidden="false" customHeight="false" outlineLevel="0" collapsed="false">
      <c r="A53" s="18" t="s">
        <v>361</v>
      </c>
      <c r="B53" s="18" t="s">
        <v>342</v>
      </c>
      <c r="C53" s="18" t="s">
        <v>362</v>
      </c>
      <c r="D53" s="18" t="s">
        <v>154</v>
      </c>
      <c r="E53" s="18" t="s">
        <v>123</v>
      </c>
      <c r="F53" s="18" t="s">
        <v>124</v>
      </c>
      <c r="G53" s="18" t="s">
        <v>125</v>
      </c>
      <c r="H53" s="20" t="s">
        <v>17</v>
      </c>
      <c r="I53" s="18" t="s">
        <v>363</v>
      </c>
      <c r="J53" s="18" t="s">
        <v>127</v>
      </c>
      <c r="K53" s="18" t="s">
        <v>125</v>
      </c>
      <c r="L53" s="18"/>
    </row>
    <row r="54" customFormat="false" ht="15" hidden="false" customHeight="false" outlineLevel="0" collapsed="false">
      <c r="A54" s="18" t="s">
        <v>364</v>
      </c>
      <c r="B54" s="18" t="s">
        <v>342</v>
      </c>
      <c r="C54" s="18" t="s">
        <v>365</v>
      </c>
      <c r="D54" s="18" t="s">
        <v>366</v>
      </c>
      <c r="E54" s="18" t="s">
        <v>343</v>
      </c>
      <c r="F54" s="18" t="s">
        <v>169</v>
      </c>
      <c r="G54" s="18" t="s">
        <v>367</v>
      </c>
      <c r="H54" s="22" t="s">
        <v>15</v>
      </c>
      <c r="I54" s="18" t="s">
        <v>368</v>
      </c>
      <c r="J54" s="18" t="s">
        <v>127</v>
      </c>
      <c r="K54" s="18" t="s">
        <v>369</v>
      </c>
      <c r="L54" s="18" t="s">
        <v>370</v>
      </c>
    </row>
    <row r="55" customFormat="false" ht="15" hidden="false" customHeight="false" outlineLevel="0" collapsed="false">
      <c r="A55" s="18" t="s">
        <v>371</v>
      </c>
      <c r="B55" s="18" t="s">
        <v>342</v>
      </c>
      <c r="C55" s="18" t="s">
        <v>372</v>
      </c>
      <c r="D55" s="18" t="s">
        <v>373</v>
      </c>
      <c r="E55" s="18" t="s">
        <v>343</v>
      </c>
      <c r="F55" s="18" t="s">
        <v>169</v>
      </c>
      <c r="G55" s="18" t="s">
        <v>374</v>
      </c>
      <c r="H55" s="22" t="s">
        <v>15</v>
      </c>
      <c r="I55" s="18" t="s">
        <v>375</v>
      </c>
      <c r="J55" s="18" t="s">
        <v>127</v>
      </c>
      <c r="K55" s="18" t="s">
        <v>376</v>
      </c>
      <c r="L55" s="18" t="s">
        <v>377</v>
      </c>
    </row>
    <row r="56" customFormat="false" ht="15" hidden="false" customHeight="false" outlineLevel="0" collapsed="false">
      <c r="A56" s="18" t="s">
        <v>378</v>
      </c>
      <c r="B56" s="18" t="s">
        <v>342</v>
      </c>
      <c r="C56" s="18" t="s">
        <v>379</v>
      </c>
      <c r="D56" s="18" t="s">
        <v>232</v>
      </c>
      <c r="E56" s="18" t="s">
        <v>47</v>
      </c>
      <c r="F56" s="18" t="s">
        <v>124</v>
      </c>
      <c r="G56" s="18" t="s">
        <v>125</v>
      </c>
      <c r="H56" s="20" t="s">
        <v>17</v>
      </c>
      <c r="I56" s="18" t="s">
        <v>380</v>
      </c>
      <c r="J56" s="18" t="s">
        <v>127</v>
      </c>
      <c r="K56" s="18" t="s">
        <v>125</v>
      </c>
      <c r="L56" s="18"/>
    </row>
    <row r="57" customFormat="false" ht="15" hidden="false" customHeight="false" outlineLevel="0" collapsed="false">
      <c r="A57" s="18" t="s">
        <v>381</v>
      </c>
      <c r="B57" s="18" t="s">
        <v>342</v>
      </c>
      <c r="C57" s="18" t="s">
        <v>382</v>
      </c>
      <c r="D57" s="18" t="s">
        <v>238</v>
      </c>
      <c r="E57" s="18" t="s">
        <v>47</v>
      </c>
      <c r="F57" s="18" t="s">
        <v>124</v>
      </c>
      <c r="G57" s="18" t="s">
        <v>125</v>
      </c>
      <c r="H57" s="20" t="s">
        <v>17</v>
      </c>
      <c r="I57" s="18" t="s">
        <v>380</v>
      </c>
      <c r="J57" s="18" t="s">
        <v>127</v>
      </c>
      <c r="K57" s="18" t="s">
        <v>125</v>
      </c>
      <c r="L57" s="18"/>
    </row>
    <row r="58" customFormat="false" ht="15" hidden="false" customHeight="false" outlineLevel="0" collapsed="false">
      <c r="A58" s="18" t="s">
        <v>383</v>
      </c>
      <c r="B58" s="18" t="s">
        <v>342</v>
      </c>
      <c r="C58" s="18" t="s">
        <v>252</v>
      </c>
      <c r="D58" s="18" t="s">
        <v>253</v>
      </c>
      <c r="E58" s="18" t="s">
        <v>47</v>
      </c>
      <c r="F58" s="18" t="s">
        <v>124</v>
      </c>
      <c r="G58" s="18" t="s">
        <v>125</v>
      </c>
      <c r="H58" s="20" t="s">
        <v>17</v>
      </c>
      <c r="I58" s="18" t="s">
        <v>384</v>
      </c>
      <c r="J58" s="18" t="s">
        <v>127</v>
      </c>
      <c r="K58" s="18" t="s">
        <v>125</v>
      </c>
      <c r="L58" s="18"/>
    </row>
    <row r="59" customFormat="false" ht="15" hidden="false" customHeight="false" outlineLevel="0" collapsed="false">
      <c r="A59" s="18" t="s">
        <v>385</v>
      </c>
      <c r="B59" s="18" t="s">
        <v>342</v>
      </c>
      <c r="C59" s="18" t="s">
        <v>243</v>
      </c>
      <c r="D59" s="18" t="s">
        <v>244</v>
      </c>
      <c r="E59" s="18" t="s">
        <v>47</v>
      </c>
      <c r="F59" s="18" t="s">
        <v>124</v>
      </c>
      <c r="G59" s="18" t="s">
        <v>125</v>
      </c>
      <c r="H59" s="20" t="s">
        <v>17</v>
      </c>
      <c r="I59" s="18" t="s">
        <v>380</v>
      </c>
      <c r="J59" s="18" t="s">
        <v>127</v>
      </c>
      <c r="K59" s="18" t="s">
        <v>125</v>
      </c>
      <c r="L59" s="18"/>
    </row>
    <row r="60" customFormat="false" ht="15" hidden="false" customHeight="false" outlineLevel="0" collapsed="false">
      <c r="A60" s="18" t="s">
        <v>386</v>
      </c>
      <c r="B60" s="18" t="s">
        <v>342</v>
      </c>
      <c r="C60" s="18" t="s">
        <v>240</v>
      </c>
      <c r="D60" s="18" t="s">
        <v>241</v>
      </c>
      <c r="E60" s="18" t="s">
        <v>47</v>
      </c>
      <c r="F60" s="18" t="s">
        <v>124</v>
      </c>
      <c r="G60" s="18" t="s">
        <v>125</v>
      </c>
      <c r="H60" s="20" t="s">
        <v>17</v>
      </c>
      <c r="I60" s="18" t="s">
        <v>380</v>
      </c>
      <c r="J60" s="18" t="s">
        <v>145</v>
      </c>
      <c r="K60" s="18" t="s">
        <v>125</v>
      </c>
      <c r="L60" s="18"/>
    </row>
    <row r="61" customFormat="false" ht="15" hidden="false" customHeight="false" outlineLevel="0" collapsed="false">
      <c r="A61" s="18" t="s">
        <v>387</v>
      </c>
      <c r="B61" s="18" t="s">
        <v>342</v>
      </c>
      <c r="C61" s="18" t="s">
        <v>262</v>
      </c>
      <c r="D61" s="18" t="s">
        <v>263</v>
      </c>
      <c r="E61" s="18" t="s">
        <v>47</v>
      </c>
      <c r="F61" s="18" t="s">
        <v>169</v>
      </c>
      <c r="G61" s="18" t="s">
        <v>162</v>
      </c>
      <c r="H61" s="20" t="s">
        <v>17</v>
      </c>
      <c r="I61" s="18" t="s">
        <v>384</v>
      </c>
      <c r="J61" s="18" t="s">
        <v>145</v>
      </c>
      <c r="K61" s="18" t="s">
        <v>125</v>
      </c>
      <c r="L61" s="18"/>
    </row>
    <row r="62" customFormat="false" ht="15" hidden="false" customHeight="false" outlineLevel="0" collapsed="false">
      <c r="A62" s="18" t="s">
        <v>388</v>
      </c>
      <c r="B62" s="18" t="s">
        <v>342</v>
      </c>
      <c r="C62" s="18" t="s">
        <v>268</v>
      </c>
      <c r="D62" s="18" t="s">
        <v>269</v>
      </c>
      <c r="E62" s="18" t="s">
        <v>47</v>
      </c>
      <c r="F62" s="18" t="s">
        <v>169</v>
      </c>
      <c r="G62" s="18" t="s">
        <v>162</v>
      </c>
      <c r="H62" s="21" t="s">
        <v>19</v>
      </c>
      <c r="I62" s="18" t="s">
        <v>389</v>
      </c>
      <c r="J62" s="18" t="s">
        <v>145</v>
      </c>
      <c r="K62" s="18" t="s">
        <v>390</v>
      </c>
      <c r="L62" s="18"/>
    </row>
    <row r="63" customFormat="false" ht="15" hidden="false" customHeight="false" outlineLevel="0" collapsed="false">
      <c r="A63" s="18" t="s">
        <v>391</v>
      </c>
      <c r="B63" s="18" t="s">
        <v>342</v>
      </c>
      <c r="C63" s="18" t="s">
        <v>392</v>
      </c>
      <c r="D63" s="18" t="s">
        <v>393</v>
      </c>
      <c r="E63" s="18" t="s">
        <v>343</v>
      </c>
      <c r="F63" s="18" t="s">
        <v>169</v>
      </c>
      <c r="G63" s="18" t="s">
        <v>326</v>
      </c>
      <c r="H63" s="21" t="s">
        <v>19</v>
      </c>
      <c r="I63" s="18" t="s">
        <v>394</v>
      </c>
      <c r="J63" s="18" t="s">
        <v>127</v>
      </c>
      <c r="K63" s="18" t="s">
        <v>395</v>
      </c>
      <c r="L63" s="18"/>
    </row>
    <row r="64" customFormat="false" ht="23.85" hidden="false" customHeight="false" outlineLevel="0" collapsed="false">
      <c r="A64" s="18" t="s">
        <v>396</v>
      </c>
      <c r="B64" s="18" t="s">
        <v>342</v>
      </c>
      <c r="C64" s="18" t="s">
        <v>397</v>
      </c>
      <c r="D64" s="18" t="s">
        <v>398</v>
      </c>
      <c r="E64" s="18" t="s">
        <v>343</v>
      </c>
      <c r="F64" s="18" t="s">
        <v>169</v>
      </c>
      <c r="G64" s="18" t="s">
        <v>399</v>
      </c>
      <c r="H64" s="22" t="s">
        <v>400</v>
      </c>
      <c r="I64" s="18" t="s">
        <v>401</v>
      </c>
      <c r="J64" s="18" t="s">
        <v>127</v>
      </c>
      <c r="K64" s="18" t="s">
        <v>402</v>
      </c>
      <c r="L64" s="18" t="s">
        <v>403</v>
      </c>
    </row>
    <row r="65" customFormat="false" ht="15" hidden="false" customHeight="false" outlineLevel="0" collapsed="false">
      <c r="A65" s="18" t="s">
        <v>404</v>
      </c>
      <c r="B65" s="18" t="s">
        <v>342</v>
      </c>
      <c r="C65" s="18" t="s">
        <v>405</v>
      </c>
      <c r="D65" s="18" t="s">
        <v>289</v>
      </c>
      <c r="E65" s="18" t="s">
        <v>343</v>
      </c>
      <c r="F65" s="18" t="s">
        <v>216</v>
      </c>
      <c r="G65" s="18" t="s">
        <v>125</v>
      </c>
      <c r="H65" s="20" t="s">
        <v>17</v>
      </c>
      <c r="I65" s="18" t="s">
        <v>406</v>
      </c>
      <c r="J65" s="18" t="s">
        <v>145</v>
      </c>
      <c r="K65" s="18" t="s">
        <v>125</v>
      </c>
      <c r="L65" s="18"/>
    </row>
    <row r="66" customFormat="false" ht="15" hidden="false" customHeight="false" outlineLevel="0" collapsed="false">
      <c r="A66" s="18" t="s">
        <v>407</v>
      </c>
      <c r="B66" s="18" t="s">
        <v>342</v>
      </c>
      <c r="C66" s="18" t="s">
        <v>408</v>
      </c>
      <c r="D66" s="18" t="s">
        <v>409</v>
      </c>
      <c r="E66" s="18" t="s">
        <v>343</v>
      </c>
      <c r="F66" s="18" t="s">
        <v>216</v>
      </c>
      <c r="G66" s="18" t="s">
        <v>125</v>
      </c>
      <c r="H66" s="21" t="s">
        <v>19</v>
      </c>
      <c r="I66" s="18" t="s">
        <v>224</v>
      </c>
      <c r="J66" s="18" t="s">
        <v>145</v>
      </c>
      <c r="K66" s="18" t="s">
        <v>125</v>
      </c>
      <c r="L66" s="18"/>
    </row>
    <row r="67" customFormat="false" ht="15" hidden="false" customHeight="false" outlineLevel="0" collapsed="false">
      <c r="A67" s="18" t="s">
        <v>410</v>
      </c>
      <c r="B67" s="18" t="s">
        <v>342</v>
      </c>
      <c r="C67" s="18" t="s">
        <v>411</v>
      </c>
      <c r="D67" s="18" t="s">
        <v>412</v>
      </c>
      <c r="E67" s="18" t="s">
        <v>343</v>
      </c>
      <c r="F67" s="18" t="s">
        <v>124</v>
      </c>
      <c r="G67" s="18" t="s">
        <v>125</v>
      </c>
      <c r="H67" s="21" t="s">
        <v>19</v>
      </c>
      <c r="I67" s="18" t="s">
        <v>224</v>
      </c>
      <c r="J67" s="18" t="s">
        <v>145</v>
      </c>
      <c r="K67" s="18" t="s">
        <v>125</v>
      </c>
      <c r="L67" s="18"/>
    </row>
    <row r="68" customFormat="false" ht="15" hidden="false" customHeight="false" outlineLevel="0" collapsed="false">
      <c r="A68" s="18" t="s">
        <v>413</v>
      </c>
      <c r="B68" s="18" t="s">
        <v>342</v>
      </c>
      <c r="C68" s="18" t="s">
        <v>414</v>
      </c>
      <c r="D68" s="18" t="s">
        <v>415</v>
      </c>
      <c r="E68" s="18" t="s">
        <v>343</v>
      </c>
      <c r="F68" s="18" t="s">
        <v>124</v>
      </c>
      <c r="G68" s="18" t="s">
        <v>125</v>
      </c>
      <c r="H68" s="21" t="s">
        <v>19</v>
      </c>
      <c r="I68" s="18" t="s">
        <v>224</v>
      </c>
      <c r="J68" s="18" t="s">
        <v>145</v>
      </c>
      <c r="K68" s="18" t="s">
        <v>125</v>
      </c>
      <c r="L68" s="18"/>
    </row>
    <row r="69" customFormat="false" ht="15" hidden="false" customHeight="false" outlineLevel="0" collapsed="false">
      <c r="A69" s="18" t="s">
        <v>416</v>
      </c>
      <c r="B69" s="18" t="s">
        <v>342</v>
      </c>
      <c r="C69" s="18" t="s">
        <v>417</v>
      </c>
      <c r="D69" s="18" t="s">
        <v>418</v>
      </c>
      <c r="E69" s="18" t="s">
        <v>419</v>
      </c>
      <c r="F69" s="18" t="s">
        <v>169</v>
      </c>
      <c r="G69" s="18" t="s">
        <v>420</v>
      </c>
      <c r="H69" s="22" t="s">
        <v>15</v>
      </c>
      <c r="I69" s="18" t="s">
        <v>217</v>
      </c>
      <c r="J69" s="18" t="s">
        <v>145</v>
      </c>
      <c r="K69" s="18" t="s">
        <v>125</v>
      </c>
      <c r="L69" s="18" t="s">
        <v>421</v>
      </c>
    </row>
    <row r="70" customFormat="false" ht="15" hidden="false" customHeight="false" outlineLevel="0" collapsed="false">
      <c r="A70" s="18" t="s">
        <v>422</v>
      </c>
      <c r="B70" s="18" t="s">
        <v>342</v>
      </c>
      <c r="C70" s="18" t="s">
        <v>423</v>
      </c>
      <c r="D70" s="18" t="s">
        <v>424</v>
      </c>
      <c r="E70" s="18" t="s">
        <v>419</v>
      </c>
      <c r="F70" s="18" t="s">
        <v>169</v>
      </c>
      <c r="G70" s="18" t="s">
        <v>326</v>
      </c>
      <c r="H70" s="22" t="s">
        <v>15</v>
      </c>
      <c r="I70" s="18" t="s">
        <v>217</v>
      </c>
      <c r="J70" s="18" t="s">
        <v>145</v>
      </c>
      <c r="K70" s="18" t="s">
        <v>125</v>
      </c>
      <c r="L70" s="18" t="s">
        <v>421</v>
      </c>
    </row>
    <row r="71" customFormat="false" ht="23.85" hidden="false" customHeight="false" outlineLevel="0" collapsed="false">
      <c r="A71" s="18" t="s">
        <v>425</v>
      </c>
      <c r="B71" s="18" t="s">
        <v>342</v>
      </c>
      <c r="C71" s="18" t="s">
        <v>426</v>
      </c>
      <c r="D71" s="18" t="s">
        <v>427</v>
      </c>
      <c r="E71" s="18" t="s">
        <v>419</v>
      </c>
      <c r="F71" s="18" t="s">
        <v>428</v>
      </c>
      <c r="G71" s="18" t="s">
        <v>125</v>
      </c>
      <c r="H71" s="22" t="s">
        <v>15</v>
      </c>
      <c r="I71" s="18" t="s">
        <v>217</v>
      </c>
      <c r="J71" s="18" t="s">
        <v>145</v>
      </c>
      <c r="K71" s="18" t="s">
        <v>429</v>
      </c>
      <c r="L71" s="18" t="s">
        <v>430</v>
      </c>
    </row>
    <row r="72" customFormat="false" ht="15" hidden="false" customHeight="false" outlineLevel="0" collapsed="false">
      <c r="A72" s="18" t="s">
        <v>431</v>
      </c>
      <c r="B72" s="18" t="s">
        <v>432</v>
      </c>
      <c r="C72" s="18" t="s">
        <v>137</v>
      </c>
      <c r="D72" s="18" t="s">
        <v>138</v>
      </c>
      <c r="E72" s="18" t="s">
        <v>123</v>
      </c>
      <c r="F72" s="18" t="s">
        <v>124</v>
      </c>
      <c r="G72" s="18" t="s">
        <v>125</v>
      </c>
      <c r="H72" s="20" t="s">
        <v>17</v>
      </c>
      <c r="I72" s="18" t="s">
        <v>170</v>
      </c>
      <c r="J72" s="18" t="s">
        <v>127</v>
      </c>
      <c r="K72" s="18" t="s">
        <v>125</v>
      </c>
      <c r="L72" s="18"/>
    </row>
    <row r="73" customFormat="false" ht="15" hidden="false" customHeight="false" outlineLevel="0" collapsed="false">
      <c r="A73" s="18" t="s">
        <v>433</v>
      </c>
      <c r="B73" s="18" t="s">
        <v>432</v>
      </c>
      <c r="C73" s="18" t="s">
        <v>434</v>
      </c>
      <c r="D73" s="18" t="s">
        <v>435</v>
      </c>
      <c r="E73" s="18" t="s">
        <v>123</v>
      </c>
      <c r="F73" s="18" t="s">
        <v>161</v>
      </c>
      <c r="G73" s="18" t="s">
        <v>162</v>
      </c>
      <c r="H73" s="20" t="s">
        <v>17</v>
      </c>
      <c r="I73" s="18" t="s">
        <v>170</v>
      </c>
      <c r="J73" s="18" t="s">
        <v>127</v>
      </c>
      <c r="K73" s="18" t="s">
        <v>125</v>
      </c>
      <c r="L73" s="18"/>
    </row>
    <row r="74" customFormat="false" ht="15" hidden="false" customHeight="false" outlineLevel="0" collapsed="false">
      <c r="A74" s="18" t="s">
        <v>436</v>
      </c>
      <c r="B74" s="18" t="s">
        <v>432</v>
      </c>
      <c r="C74" s="18" t="s">
        <v>437</v>
      </c>
      <c r="D74" s="18" t="s">
        <v>438</v>
      </c>
      <c r="E74" s="18" t="s">
        <v>76</v>
      </c>
      <c r="F74" s="18" t="s">
        <v>124</v>
      </c>
      <c r="G74" s="18" t="s">
        <v>125</v>
      </c>
      <c r="H74" s="20" t="s">
        <v>17</v>
      </c>
      <c r="I74" s="18" t="s">
        <v>439</v>
      </c>
      <c r="J74" s="18" t="s">
        <v>145</v>
      </c>
      <c r="K74" s="18" t="s">
        <v>125</v>
      </c>
      <c r="L74" s="18"/>
    </row>
    <row r="75" customFormat="false" ht="15" hidden="false" customHeight="false" outlineLevel="0" collapsed="false">
      <c r="A75" s="18" t="s">
        <v>440</v>
      </c>
      <c r="B75" s="18" t="s">
        <v>432</v>
      </c>
      <c r="C75" s="18" t="s">
        <v>149</v>
      </c>
      <c r="D75" s="18" t="s">
        <v>150</v>
      </c>
      <c r="E75" s="18" t="s">
        <v>123</v>
      </c>
      <c r="F75" s="18" t="s">
        <v>124</v>
      </c>
      <c r="G75" s="18" t="s">
        <v>125</v>
      </c>
      <c r="H75" s="20" t="s">
        <v>17</v>
      </c>
      <c r="I75" s="18" t="s">
        <v>170</v>
      </c>
      <c r="J75" s="18" t="s">
        <v>145</v>
      </c>
      <c r="K75" s="18" t="s">
        <v>125</v>
      </c>
      <c r="L75" s="18"/>
    </row>
    <row r="76" customFormat="false" ht="15" hidden="false" customHeight="false" outlineLevel="0" collapsed="false">
      <c r="A76" s="18" t="s">
        <v>441</v>
      </c>
      <c r="B76" s="18" t="s">
        <v>432</v>
      </c>
      <c r="C76" s="18" t="s">
        <v>153</v>
      </c>
      <c r="D76" s="18" t="s">
        <v>154</v>
      </c>
      <c r="E76" s="18" t="s">
        <v>123</v>
      </c>
      <c r="F76" s="18" t="s">
        <v>124</v>
      </c>
      <c r="G76" s="18" t="s">
        <v>125</v>
      </c>
      <c r="H76" s="20" t="s">
        <v>17</v>
      </c>
      <c r="I76" s="18" t="s">
        <v>155</v>
      </c>
      <c r="J76" s="18" t="s">
        <v>127</v>
      </c>
      <c r="K76" s="18" t="s">
        <v>125</v>
      </c>
      <c r="L76" s="18"/>
    </row>
    <row r="77" customFormat="false" ht="15" hidden="false" customHeight="false" outlineLevel="0" collapsed="false">
      <c r="A77" s="18" t="s">
        <v>442</v>
      </c>
      <c r="B77" s="18" t="s">
        <v>432</v>
      </c>
      <c r="C77" s="18" t="s">
        <v>443</v>
      </c>
      <c r="D77" s="18" t="s">
        <v>444</v>
      </c>
      <c r="E77" s="18" t="s">
        <v>445</v>
      </c>
      <c r="F77" s="18" t="s">
        <v>211</v>
      </c>
      <c r="G77" s="18" t="s">
        <v>446</v>
      </c>
      <c r="H77" s="22" t="s">
        <v>15</v>
      </c>
      <c r="I77" s="18" t="s">
        <v>447</v>
      </c>
      <c r="J77" s="18" t="s">
        <v>127</v>
      </c>
      <c r="K77" s="18" t="s">
        <v>448</v>
      </c>
      <c r="L77" s="18" t="s">
        <v>449</v>
      </c>
    </row>
    <row r="78" customFormat="false" ht="15" hidden="false" customHeight="false" outlineLevel="0" collapsed="false">
      <c r="A78" s="18" t="s">
        <v>450</v>
      </c>
      <c r="B78" s="18" t="s">
        <v>432</v>
      </c>
      <c r="C78" s="18" t="s">
        <v>451</v>
      </c>
      <c r="D78" s="18" t="s">
        <v>452</v>
      </c>
      <c r="E78" s="18" t="s">
        <v>445</v>
      </c>
      <c r="F78" s="18" t="s">
        <v>169</v>
      </c>
      <c r="G78" s="18" t="s">
        <v>206</v>
      </c>
      <c r="H78" s="20" t="s">
        <v>17</v>
      </c>
      <c r="I78" s="18" t="s">
        <v>453</v>
      </c>
      <c r="J78" s="18" t="s">
        <v>127</v>
      </c>
      <c r="K78" s="18" t="s">
        <v>448</v>
      </c>
      <c r="L78" s="18" t="s">
        <v>454</v>
      </c>
    </row>
    <row r="79" customFormat="false" ht="15" hidden="false" customHeight="false" outlineLevel="0" collapsed="false">
      <c r="A79" s="18" t="s">
        <v>455</v>
      </c>
      <c r="B79" s="18" t="s">
        <v>432</v>
      </c>
      <c r="C79" s="18" t="s">
        <v>456</v>
      </c>
      <c r="D79" s="18" t="s">
        <v>457</v>
      </c>
      <c r="E79" s="18" t="s">
        <v>445</v>
      </c>
      <c r="F79" s="18" t="s">
        <v>211</v>
      </c>
      <c r="G79" s="18" t="s">
        <v>446</v>
      </c>
      <c r="H79" s="21" t="s">
        <v>19</v>
      </c>
      <c r="I79" s="18" t="s">
        <v>458</v>
      </c>
      <c r="J79" s="18" t="s">
        <v>145</v>
      </c>
      <c r="K79" s="18" t="s">
        <v>459</v>
      </c>
      <c r="L79" s="18"/>
    </row>
    <row r="80" customFormat="false" ht="15" hidden="false" customHeight="false" outlineLevel="0" collapsed="false">
      <c r="A80" s="18" t="s">
        <v>460</v>
      </c>
      <c r="B80" s="18" t="s">
        <v>432</v>
      </c>
      <c r="C80" s="18" t="s">
        <v>461</v>
      </c>
      <c r="D80" s="18" t="s">
        <v>462</v>
      </c>
      <c r="E80" s="18" t="s">
        <v>445</v>
      </c>
      <c r="F80" s="18" t="s">
        <v>169</v>
      </c>
      <c r="G80" s="18" t="s">
        <v>206</v>
      </c>
      <c r="H80" s="20" t="s">
        <v>17</v>
      </c>
      <c r="I80" s="18" t="s">
        <v>463</v>
      </c>
      <c r="J80" s="18" t="s">
        <v>145</v>
      </c>
      <c r="K80" s="18" t="s">
        <v>448</v>
      </c>
      <c r="L80" s="18"/>
    </row>
    <row r="81" customFormat="false" ht="15" hidden="false" customHeight="false" outlineLevel="0" collapsed="false">
      <c r="A81" s="18" t="s">
        <v>464</v>
      </c>
      <c r="B81" s="18" t="s">
        <v>432</v>
      </c>
      <c r="C81" s="18" t="s">
        <v>465</v>
      </c>
      <c r="D81" s="18" t="s">
        <v>466</v>
      </c>
      <c r="E81" s="18" t="s">
        <v>445</v>
      </c>
      <c r="F81" s="18" t="s">
        <v>211</v>
      </c>
      <c r="G81" s="18" t="s">
        <v>446</v>
      </c>
      <c r="H81" s="21" t="s">
        <v>19</v>
      </c>
      <c r="I81" s="18" t="s">
        <v>458</v>
      </c>
      <c r="J81" s="18" t="s">
        <v>145</v>
      </c>
      <c r="K81" s="18" t="s">
        <v>448</v>
      </c>
      <c r="L81" s="18"/>
    </row>
    <row r="82" customFormat="false" ht="15" hidden="false" customHeight="false" outlineLevel="0" collapsed="false">
      <c r="A82" s="18" t="s">
        <v>467</v>
      </c>
      <c r="B82" s="18" t="s">
        <v>432</v>
      </c>
      <c r="C82" s="18" t="s">
        <v>468</v>
      </c>
      <c r="D82" s="18" t="s">
        <v>469</v>
      </c>
      <c r="E82" s="18" t="s">
        <v>445</v>
      </c>
      <c r="F82" s="18" t="s">
        <v>169</v>
      </c>
      <c r="G82" s="18" t="s">
        <v>206</v>
      </c>
      <c r="H82" s="20" t="s">
        <v>17</v>
      </c>
      <c r="I82" s="18" t="s">
        <v>463</v>
      </c>
      <c r="J82" s="18" t="s">
        <v>145</v>
      </c>
      <c r="K82" s="18" t="s">
        <v>448</v>
      </c>
      <c r="L82" s="18"/>
    </row>
    <row r="83" customFormat="false" ht="15" hidden="false" customHeight="false" outlineLevel="0" collapsed="false">
      <c r="A83" s="18" t="s">
        <v>470</v>
      </c>
      <c r="B83" s="18" t="s">
        <v>432</v>
      </c>
      <c r="C83" s="18" t="s">
        <v>471</v>
      </c>
      <c r="D83" s="18" t="s">
        <v>472</v>
      </c>
      <c r="E83" s="18" t="s">
        <v>445</v>
      </c>
      <c r="F83" s="18" t="s">
        <v>211</v>
      </c>
      <c r="G83" s="18" t="s">
        <v>446</v>
      </c>
      <c r="H83" s="21" t="s">
        <v>19</v>
      </c>
      <c r="I83" s="18" t="s">
        <v>458</v>
      </c>
      <c r="J83" s="18" t="s">
        <v>145</v>
      </c>
      <c r="K83" s="18" t="s">
        <v>448</v>
      </c>
      <c r="L83" s="18"/>
    </row>
    <row r="84" customFormat="false" ht="15" hidden="false" customHeight="false" outlineLevel="0" collapsed="false">
      <c r="A84" s="18" t="s">
        <v>473</v>
      </c>
      <c r="B84" s="18" t="s">
        <v>432</v>
      </c>
      <c r="C84" s="18" t="s">
        <v>474</v>
      </c>
      <c r="D84" s="18" t="s">
        <v>475</v>
      </c>
      <c r="E84" s="18" t="s">
        <v>445</v>
      </c>
      <c r="F84" s="18" t="s">
        <v>169</v>
      </c>
      <c r="G84" s="18" t="s">
        <v>206</v>
      </c>
      <c r="H84" s="20" t="s">
        <v>17</v>
      </c>
      <c r="I84" s="18" t="s">
        <v>463</v>
      </c>
      <c r="J84" s="18" t="s">
        <v>145</v>
      </c>
      <c r="K84" s="18" t="s">
        <v>448</v>
      </c>
      <c r="L84" s="18"/>
    </row>
    <row r="85" customFormat="false" ht="15" hidden="false" customHeight="false" outlineLevel="0" collapsed="false">
      <c r="A85" s="18" t="s">
        <v>476</v>
      </c>
      <c r="B85" s="18" t="s">
        <v>432</v>
      </c>
      <c r="C85" s="18" t="s">
        <v>477</v>
      </c>
      <c r="D85" s="18" t="s">
        <v>478</v>
      </c>
      <c r="E85" s="18" t="s">
        <v>123</v>
      </c>
      <c r="F85" s="18" t="s">
        <v>211</v>
      </c>
      <c r="G85" s="18" t="s">
        <v>446</v>
      </c>
      <c r="H85" s="22" t="s">
        <v>15</v>
      </c>
      <c r="I85" s="18" t="s">
        <v>479</v>
      </c>
      <c r="J85" s="18" t="s">
        <v>127</v>
      </c>
      <c r="K85" s="18" t="s">
        <v>125</v>
      </c>
      <c r="L85" s="18"/>
    </row>
    <row r="86" customFormat="false" ht="15" hidden="false" customHeight="false" outlineLevel="0" collapsed="false">
      <c r="A86" s="18" t="s">
        <v>480</v>
      </c>
      <c r="B86" s="18" t="s">
        <v>432</v>
      </c>
      <c r="C86" s="18" t="s">
        <v>481</v>
      </c>
      <c r="D86" s="18" t="s">
        <v>482</v>
      </c>
      <c r="E86" s="18" t="s">
        <v>123</v>
      </c>
      <c r="F86" s="18" t="s">
        <v>169</v>
      </c>
      <c r="G86" s="18" t="s">
        <v>483</v>
      </c>
      <c r="H86" s="22" t="s">
        <v>15</v>
      </c>
      <c r="I86" s="18" t="s">
        <v>479</v>
      </c>
      <c r="J86" s="18" t="s">
        <v>127</v>
      </c>
      <c r="K86" s="18" t="s">
        <v>125</v>
      </c>
      <c r="L86" s="18"/>
    </row>
    <row r="87" customFormat="false" ht="15" hidden="false" customHeight="false" outlineLevel="0" collapsed="false">
      <c r="A87" s="18" t="s">
        <v>484</v>
      </c>
      <c r="B87" s="18" t="s">
        <v>432</v>
      </c>
      <c r="C87" s="18" t="s">
        <v>485</v>
      </c>
      <c r="D87" s="18" t="s">
        <v>486</v>
      </c>
      <c r="E87" s="18" t="s">
        <v>123</v>
      </c>
      <c r="F87" s="18" t="s">
        <v>169</v>
      </c>
      <c r="G87" s="18" t="s">
        <v>483</v>
      </c>
      <c r="H87" s="22" t="s">
        <v>15</v>
      </c>
      <c r="I87" s="18" t="s">
        <v>487</v>
      </c>
      <c r="J87" s="18" t="s">
        <v>127</v>
      </c>
      <c r="K87" s="18" t="s">
        <v>125</v>
      </c>
      <c r="L87" s="18" t="s">
        <v>488</v>
      </c>
    </row>
    <row r="88" customFormat="false" ht="23.85" hidden="false" customHeight="false" outlineLevel="0" collapsed="false">
      <c r="A88" s="18" t="s">
        <v>489</v>
      </c>
      <c r="B88" s="18" t="s">
        <v>432</v>
      </c>
      <c r="C88" s="18" t="s">
        <v>490</v>
      </c>
      <c r="D88" s="18" t="s">
        <v>491</v>
      </c>
      <c r="E88" s="18" t="s">
        <v>123</v>
      </c>
      <c r="F88" s="18" t="s">
        <v>169</v>
      </c>
      <c r="G88" s="18" t="s">
        <v>483</v>
      </c>
      <c r="H88" s="22" t="s">
        <v>400</v>
      </c>
      <c r="I88" s="18" t="s">
        <v>492</v>
      </c>
      <c r="J88" s="18" t="s">
        <v>127</v>
      </c>
      <c r="K88" s="18" t="s">
        <v>125</v>
      </c>
      <c r="L88" s="18"/>
    </row>
    <row r="89" customFormat="false" ht="15" hidden="false" customHeight="false" outlineLevel="0" collapsed="false">
      <c r="A89" s="18" t="s">
        <v>493</v>
      </c>
      <c r="B89" s="18" t="s">
        <v>432</v>
      </c>
      <c r="C89" s="18" t="s">
        <v>494</v>
      </c>
      <c r="D89" s="18" t="s">
        <v>495</v>
      </c>
      <c r="E89" s="18" t="s">
        <v>123</v>
      </c>
      <c r="F89" s="18" t="s">
        <v>169</v>
      </c>
      <c r="G89" s="18" t="s">
        <v>483</v>
      </c>
      <c r="H89" s="22" t="s">
        <v>15</v>
      </c>
      <c r="I89" s="18" t="s">
        <v>479</v>
      </c>
      <c r="J89" s="18" t="s">
        <v>127</v>
      </c>
      <c r="K89" s="18" t="s">
        <v>125</v>
      </c>
      <c r="L89" s="18"/>
    </row>
    <row r="90" customFormat="false" ht="15" hidden="false" customHeight="false" outlineLevel="0" collapsed="false">
      <c r="A90" s="18" t="s">
        <v>496</v>
      </c>
      <c r="B90" s="18" t="s">
        <v>432</v>
      </c>
      <c r="C90" s="18" t="s">
        <v>497</v>
      </c>
      <c r="D90" s="18" t="s">
        <v>498</v>
      </c>
      <c r="E90" s="18" t="s">
        <v>499</v>
      </c>
      <c r="F90" s="18" t="s">
        <v>169</v>
      </c>
      <c r="G90" s="18" t="s">
        <v>483</v>
      </c>
      <c r="H90" s="22" t="s">
        <v>15</v>
      </c>
      <c r="I90" s="18" t="s">
        <v>500</v>
      </c>
      <c r="J90" s="18" t="s">
        <v>127</v>
      </c>
      <c r="K90" s="18" t="s">
        <v>125</v>
      </c>
      <c r="L90" s="18"/>
    </row>
    <row r="91" customFormat="false" ht="15" hidden="false" customHeight="false" outlineLevel="0" collapsed="false">
      <c r="A91" s="18" t="s">
        <v>501</v>
      </c>
      <c r="B91" s="18" t="s">
        <v>432</v>
      </c>
      <c r="C91" s="18" t="s">
        <v>502</v>
      </c>
      <c r="D91" s="18" t="s">
        <v>503</v>
      </c>
      <c r="E91" s="18" t="s">
        <v>123</v>
      </c>
      <c r="F91" s="18" t="s">
        <v>169</v>
      </c>
      <c r="G91" s="18" t="s">
        <v>326</v>
      </c>
      <c r="H91" s="22" t="s">
        <v>15</v>
      </c>
      <c r="I91" s="18" t="s">
        <v>504</v>
      </c>
      <c r="J91" s="18" t="s">
        <v>127</v>
      </c>
      <c r="K91" s="18" t="s">
        <v>505</v>
      </c>
      <c r="L91" s="18" t="s">
        <v>506</v>
      </c>
    </row>
    <row r="92" customFormat="false" ht="23.85" hidden="false" customHeight="false" outlineLevel="0" collapsed="false">
      <c r="A92" s="18" t="s">
        <v>507</v>
      </c>
      <c r="B92" s="18" t="s">
        <v>432</v>
      </c>
      <c r="C92" s="18" t="s">
        <v>508</v>
      </c>
      <c r="D92" s="18" t="s">
        <v>509</v>
      </c>
      <c r="E92" s="18" t="s">
        <v>419</v>
      </c>
      <c r="F92" s="18" t="s">
        <v>169</v>
      </c>
      <c r="G92" s="18" t="s">
        <v>510</v>
      </c>
      <c r="H92" s="22" t="s">
        <v>15</v>
      </c>
      <c r="I92" s="18" t="s">
        <v>511</v>
      </c>
      <c r="J92" s="18" t="s">
        <v>145</v>
      </c>
      <c r="K92" s="18" t="s">
        <v>125</v>
      </c>
      <c r="L92" s="18" t="s">
        <v>512</v>
      </c>
    </row>
    <row r="93" customFormat="false" ht="15" hidden="false" customHeight="false" outlineLevel="0" collapsed="false">
      <c r="A93" s="18" t="s">
        <v>513</v>
      </c>
      <c r="B93" s="18" t="s">
        <v>514</v>
      </c>
      <c r="C93" s="18" t="s">
        <v>515</v>
      </c>
      <c r="D93" s="18" t="s">
        <v>516</v>
      </c>
      <c r="E93" s="18" t="s">
        <v>65</v>
      </c>
      <c r="F93" s="18" t="s">
        <v>349</v>
      </c>
      <c r="G93" s="18" t="s">
        <v>125</v>
      </c>
      <c r="H93" s="22" t="s">
        <v>15</v>
      </c>
      <c r="I93" s="18" t="s">
        <v>517</v>
      </c>
      <c r="J93" s="18" t="s">
        <v>127</v>
      </c>
      <c r="K93" s="18" t="s">
        <v>125</v>
      </c>
      <c r="L93" s="18" t="s">
        <v>518</v>
      </c>
    </row>
    <row r="94" customFormat="false" ht="15" hidden="false" customHeight="false" outlineLevel="0" collapsed="false">
      <c r="A94" s="18" t="s">
        <v>519</v>
      </c>
      <c r="B94" s="18" t="s">
        <v>514</v>
      </c>
      <c r="C94" s="18" t="s">
        <v>520</v>
      </c>
      <c r="D94" s="18" t="s">
        <v>521</v>
      </c>
      <c r="E94" s="18" t="s">
        <v>65</v>
      </c>
      <c r="F94" s="18" t="s">
        <v>349</v>
      </c>
      <c r="G94" s="18" t="s">
        <v>125</v>
      </c>
      <c r="H94" s="22" t="s">
        <v>15</v>
      </c>
      <c r="I94" s="18" t="s">
        <v>522</v>
      </c>
      <c r="J94" s="18" t="s">
        <v>127</v>
      </c>
      <c r="K94" s="18" t="s">
        <v>125</v>
      </c>
      <c r="L94" s="18"/>
    </row>
    <row r="95" customFormat="false" ht="15" hidden="false" customHeight="false" outlineLevel="0" collapsed="false">
      <c r="A95" s="18" t="s">
        <v>523</v>
      </c>
      <c r="B95" s="18" t="s">
        <v>514</v>
      </c>
      <c r="C95" s="18" t="s">
        <v>524</v>
      </c>
      <c r="D95" s="18" t="s">
        <v>525</v>
      </c>
      <c r="E95" s="18" t="s">
        <v>65</v>
      </c>
      <c r="F95" s="18" t="s">
        <v>169</v>
      </c>
      <c r="G95" s="18" t="s">
        <v>526</v>
      </c>
      <c r="H95" s="22" t="s">
        <v>15</v>
      </c>
      <c r="I95" s="18" t="s">
        <v>527</v>
      </c>
      <c r="J95" s="18" t="s">
        <v>127</v>
      </c>
      <c r="K95" s="18" t="s">
        <v>125</v>
      </c>
      <c r="L95" s="18"/>
    </row>
    <row r="96" customFormat="false" ht="15" hidden="false" customHeight="false" outlineLevel="0" collapsed="false">
      <c r="A96" s="18" t="s">
        <v>528</v>
      </c>
      <c r="B96" s="18" t="s">
        <v>514</v>
      </c>
      <c r="C96" s="18" t="s">
        <v>529</v>
      </c>
      <c r="D96" s="18" t="s">
        <v>228</v>
      </c>
      <c r="E96" s="18" t="s">
        <v>65</v>
      </c>
      <c r="F96" s="18" t="s">
        <v>124</v>
      </c>
      <c r="G96" s="18" t="s">
        <v>125</v>
      </c>
      <c r="H96" s="21" t="s">
        <v>19</v>
      </c>
      <c r="I96" s="18" t="s">
        <v>224</v>
      </c>
      <c r="J96" s="18" t="s">
        <v>127</v>
      </c>
      <c r="K96" s="18" t="s">
        <v>125</v>
      </c>
      <c r="L96" s="18"/>
    </row>
    <row r="97" customFormat="false" ht="15" hidden="false" customHeight="false" outlineLevel="0" collapsed="false">
      <c r="A97" s="18" t="s">
        <v>530</v>
      </c>
      <c r="B97" s="18" t="s">
        <v>514</v>
      </c>
      <c r="C97" s="18" t="s">
        <v>531</v>
      </c>
      <c r="D97" s="18" t="s">
        <v>532</v>
      </c>
      <c r="E97" s="18" t="s">
        <v>65</v>
      </c>
      <c r="F97" s="18" t="s">
        <v>169</v>
      </c>
      <c r="G97" s="18" t="s">
        <v>526</v>
      </c>
      <c r="H97" s="22" t="s">
        <v>15</v>
      </c>
      <c r="I97" s="18" t="s">
        <v>533</v>
      </c>
      <c r="J97" s="18" t="s">
        <v>127</v>
      </c>
      <c r="K97" s="18" t="s">
        <v>125</v>
      </c>
      <c r="L97" s="18"/>
    </row>
    <row r="98" customFormat="false" ht="15" hidden="false" customHeight="false" outlineLevel="0" collapsed="false">
      <c r="A98" s="18" t="s">
        <v>534</v>
      </c>
      <c r="B98" s="18" t="s">
        <v>514</v>
      </c>
      <c r="C98" s="18" t="s">
        <v>535</v>
      </c>
      <c r="D98" s="18" t="s">
        <v>536</v>
      </c>
      <c r="E98" s="18" t="s">
        <v>65</v>
      </c>
      <c r="F98" s="18" t="s">
        <v>124</v>
      </c>
      <c r="G98" s="18" t="s">
        <v>125</v>
      </c>
      <c r="H98" s="21" t="s">
        <v>19</v>
      </c>
      <c r="I98" s="18" t="s">
        <v>224</v>
      </c>
      <c r="J98" s="18" t="s">
        <v>127</v>
      </c>
      <c r="K98" s="18" t="s">
        <v>537</v>
      </c>
      <c r="L98" s="18" t="s">
        <v>538</v>
      </c>
    </row>
    <row r="99" customFormat="false" ht="15" hidden="false" customHeight="false" outlineLevel="0" collapsed="false">
      <c r="A99" s="18" t="s">
        <v>539</v>
      </c>
      <c r="B99" s="18" t="s">
        <v>514</v>
      </c>
      <c r="C99" s="18" t="s">
        <v>540</v>
      </c>
      <c r="D99" s="18" t="s">
        <v>541</v>
      </c>
      <c r="E99" s="18" t="s">
        <v>65</v>
      </c>
      <c r="F99" s="18" t="s">
        <v>124</v>
      </c>
      <c r="G99" s="18" t="s">
        <v>125</v>
      </c>
      <c r="H99" s="21" t="s">
        <v>19</v>
      </c>
      <c r="I99" s="18" t="s">
        <v>224</v>
      </c>
      <c r="J99" s="18" t="s">
        <v>145</v>
      </c>
      <c r="K99" s="18" t="s">
        <v>125</v>
      </c>
      <c r="L99" s="18"/>
    </row>
    <row r="100" customFormat="false" ht="15" hidden="false" customHeight="false" outlineLevel="0" collapsed="false">
      <c r="A100" s="18" t="s">
        <v>542</v>
      </c>
      <c r="B100" s="18" t="s">
        <v>514</v>
      </c>
      <c r="C100" s="18" t="s">
        <v>543</v>
      </c>
      <c r="D100" s="18" t="s">
        <v>544</v>
      </c>
      <c r="E100" s="18" t="s">
        <v>65</v>
      </c>
      <c r="F100" s="18" t="s">
        <v>169</v>
      </c>
      <c r="G100" s="18" t="s">
        <v>526</v>
      </c>
      <c r="H100" s="22" t="s">
        <v>15</v>
      </c>
      <c r="I100" s="18" t="s">
        <v>545</v>
      </c>
      <c r="J100" s="18" t="s">
        <v>127</v>
      </c>
      <c r="K100" s="18" t="s">
        <v>125</v>
      </c>
      <c r="L100" s="18"/>
    </row>
    <row r="101" customFormat="false" ht="15" hidden="false" customHeight="false" outlineLevel="0" collapsed="false">
      <c r="A101" s="18" t="s">
        <v>546</v>
      </c>
      <c r="B101" s="18" t="s">
        <v>547</v>
      </c>
      <c r="C101" s="18" t="s">
        <v>548</v>
      </c>
      <c r="D101" s="18" t="s">
        <v>549</v>
      </c>
      <c r="E101" s="18" t="s">
        <v>71</v>
      </c>
      <c r="F101" s="18" t="s">
        <v>124</v>
      </c>
      <c r="G101" s="18" t="s">
        <v>125</v>
      </c>
      <c r="H101" s="20" t="s">
        <v>17</v>
      </c>
      <c r="I101" s="18" t="s">
        <v>550</v>
      </c>
      <c r="J101" s="18" t="s">
        <v>127</v>
      </c>
      <c r="K101" s="18" t="s">
        <v>125</v>
      </c>
      <c r="L101" s="18" t="s">
        <v>551</v>
      </c>
    </row>
    <row r="102" customFormat="false" ht="15" hidden="false" customHeight="false" outlineLevel="0" collapsed="false">
      <c r="A102" s="18" t="s">
        <v>552</v>
      </c>
      <c r="B102" s="18" t="s">
        <v>547</v>
      </c>
      <c r="C102" s="18" t="s">
        <v>553</v>
      </c>
      <c r="D102" s="18" t="s">
        <v>554</v>
      </c>
      <c r="E102" s="18" t="s">
        <v>71</v>
      </c>
      <c r="F102" s="18" t="s">
        <v>169</v>
      </c>
      <c r="G102" s="18" t="s">
        <v>162</v>
      </c>
      <c r="H102" s="21" t="s">
        <v>19</v>
      </c>
      <c r="I102" s="18" t="s">
        <v>295</v>
      </c>
      <c r="J102" s="18" t="s">
        <v>127</v>
      </c>
      <c r="K102" s="18" t="s">
        <v>555</v>
      </c>
      <c r="L102" s="18" t="s">
        <v>556</v>
      </c>
    </row>
    <row r="103" customFormat="false" ht="15" hidden="false" customHeight="false" outlineLevel="0" collapsed="false">
      <c r="A103" s="18" t="s">
        <v>557</v>
      </c>
      <c r="B103" s="18" t="s">
        <v>547</v>
      </c>
      <c r="C103" s="18" t="s">
        <v>558</v>
      </c>
      <c r="D103" s="18" t="s">
        <v>559</v>
      </c>
      <c r="E103" s="18" t="s">
        <v>71</v>
      </c>
      <c r="F103" s="18" t="s">
        <v>169</v>
      </c>
      <c r="G103" s="18" t="s">
        <v>162</v>
      </c>
      <c r="H103" s="21" t="s">
        <v>19</v>
      </c>
      <c r="I103" s="18" t="s">
        <v>295</v>
      </c>
      <c r="J103" s="18" t="s">
        <v>127</v>
      </c>
      <c r="K103" s="18" t="s">
        <v>555</v>
      </c>
      <c r="L103" s="18" t="s">
        <v>560</v>
      </c>
    </row>
    <row r="104" customFormat="false" ht="15" hidden="false" customHeight="false" outlineLevel="0" collapsed="false">
      <c r="A104" s="18" t="s">
        <v>561</v>
      </c>
      <c r="B104" s="18" t="s">
        <v>547</v>
      </c>
      <c r="C104" s="18" t="s">
        <v>174</v>
      </c>
      <c r="D104" s="18" t="s">
        <v>562</v>
      </c>
      <c r="E104" s="18" t="s">
        <v>71</v>
      </c>
      <c r="F104" s="18" t="s">
        <v>169</v>
      </c>
      <c r="G104" s="18" t="s">
        <v>162</v>
      </c>
      <c r="H104" s="21" t="s">
        <v>19</v>
      </c>
      <c r="I104" s="18" t="s">
        <v>295</v>
      </c>
      <c r="J104" s="18" t="s">
        <v>127</v>
      </c>
      <c r="K104" s="18" t="s">
        <v>332</v>
      </c>
      <c r="L104" s="18"/>
    </row>
    <row r="105" customFormat="false" ht="15" hidden="false" customHeight="false" outlineLevel="0" collapsed="false">
      <c r="A105" s="18" t="s">
        <v>563</v>
      </c>
      <c r="B105" s="18" t="s">
        <v>547</v>
      </c>
      <c r="C105" s="18" t="s">
        <v>564</v>
      </c>
      <c r="D105" s="18" t="s">
        <v>565</v>
      </c>
      <c r="E105" s="18" t="s">
        <v>71</v>
      </c>
      <c r="F105" s="18" t="s">
        <v>223</v>
      </c>
      <c r="G105" s="18" t="s">
        <v>125</v>
      </c>
      <c r="H105" s="21" t="s">
        <v>19</v>
      </c>
      <c r="I105" s="18" t="s">
        <v>295</v>
      </c>
      <c r="J105" s="18" t="s">
        <v>127</v>
      </c>
      <c r="K105" s="18" t="s">
        <v>566</v>
      </c>
      <c r="L105" s="18" t="s">
        <v>567</v>
      </c>
    </row>
    <row r="106" customFormat="false" ht="15" hidden="false" customHeight="false" outlineLevel="0" collapsed="false">
      <c r="A106" s="18" t="s">
        <v>568</v>
      </c>
      <c r="B106" s="18" t="s">
        <v>547</v>
      </c>
      <c r="C106" s="18" t="s">
        <v>569</v>
      </c>
      <c r="D106" s="18" t="s">
        <v>570</v>
      </c>
      <c r="E106" s="18" t="s">
        <v>71</v>
      </c>
      <c r="F106" s="18" t="s">
        <v>169</v>
      </c>
      <c r="G106" s="18" t="s">
        <v>162</v>
      </c>
      <c r="H106" s="21" t="s">
        <v>19</v>
      </c>
      <c r="I106" s="18" t="s">
        <v>295</v>
      </c>
      <c r="J106" s="18" t="s">
        <v>145</v>
      </c>
      <c r="K106" s="18" t="s">
        <v>125</v>
      </c>
      <c r="L106" s="18" t="s">
        <v>571</v>
      </c>
    </row>
    <row r="107" customFormat="false" ht="15" hidden="false" customHeight="false" outlineLevel="0" collapsed="false">
      <c r="A107" s="18" t="s">
        <v>572</v>
      </c>
      <c r="B107" s="18" t="s">
        <v>547</v>
      </c>
      <c r="C107" s="18" t="s">
        <v>573</v>
      </c>
      <c r="D107" s="18" t="s">
        <v>574</v>
      </c>
      <c r="E107" s="18" t="s">
        <v>71</v>
      </c>
      <c r="F107" s="18" t="s">
        <v>169</v>
      </c>
      <c r="G107" s="18" t="s">
        <v>162</v>
      </c>
      <c r="H107" s="21" t="s">
        <v>19</v>
      </c>
      <c r="I107" s="18" t="s">
        <v>295</v>
      </c>
      <c r="J107" s="18" t="s">
        <v>145</v>
      </c>
      <c r="K107" s="18" t="s">
        <v>125</v>
      </c>
      <c r="L107" s="18" t="s">
        <v>575</v>
      </c>
    </row>
    <row r="108" customFormat="false" ht="15" hidden="false" customHeight="false" outlineLevel="0" collapsed="false">
      <c r="A108" s="18" t="s">
        <v>576</v>
      </c>
      <c r="B108" s="18" t="s">
        <v>547</v>
      </c>
      <c r="C108" s="18" t="s">
        <v>577</v>
      </c>
      <c r="D108" s="18" t="s">
        <v>578</v>
      </c>
      <c r="E108" s="18" t="s">
        <v>71</v>
      </c>
      <c r="F108" s="18" t="s">
        <v>169</v>
      </c>
      <c r="G108" s="18" t="s">
        <v>326</v>
      </c>
      <c r="H108" s="21" t="s">
        <v>19</v>
      </c>
      <c r="I108" s="18" t="s">
        <v>295</v>
      </c>
      <c r="J108" s="18" t="s">
        <v>145</v>
      </c>
      <c r="K108" s="18" t="s">
        <v>579</v>
      </c>
      <c r="L108" s="18"/>
    </row>
    <row r="109" customFormat="false" ht="15" hidden="false" customHeight="false" outlineLevel="0" collapsed="false">
      <c r="A109" s="18" t="s">
        <v>580</v>
      </c>
      <c r="B109" s="18" t="s">
        <v>547</v>
      </c>
      <c r="C109" s="18" t="s">
        <v>581</v>
      </c>
      <c r="D109" s="18" t="s">
        <v>582</v>
      </c>
      <c r="E109" s="18" t="s">
        <v>71</v>
      </c>
      <c r="F109" s="18" t="s">
        <v>124</v>
      </c>
      <c r="G109" s="18" t="s">
        <v>125</v>
      </c>
      <c r="H109" s="21" t="s">
        <v>19</v>
      </c>
      <c r="I109" s="18" t="s">
        <v>295</v>
      </c>
      <c r="J109" s="18" t="s">
        <v>145</v>
      </c>
      <c r="K109" s="18" t="s">
        <v>583</v>
      </c>
      <c r="L109" s="18" t="s">
        <v>575</v>
      </c>
    </row>
    <row r="110" customFormat="false" ht="23.85" hidden="false" customHeight="false" outlineLevel="0" collapsed="false">
      <c r="A110" s="18" t="s">
        <v>584</v>
      </c>
      <c r="B110" s="18" t="s">
        <v>547</v>
      </c>
      <c r="C110" s="18" t="s">
        <v>585</v>
      </c>
      <c r="D110" s="18" t="s">
        <v>586</v>
      </c>
      <c r="E110" s="18" t="s">
        <v>71</v>
      </c>
      <c r="F110" s="18" t="s">
        <v>223</v>
      </c>
      <c r="G110" s="18" t="s">
        <v>125</v>
      </c>
      <c r="H110" s="22" t="s">
        <v>400</v>
      </c>
      <c r="I110" s="18" t="s">
        <v>587</v>
      </c>
      <c r="J110" s="18" t="s">
        <v>127</v>
      </c>
      <c r="K110" s="18" t="s">
        <v>588</v>
      </c>
      <c r="L110" s="18" t="s">
        <v>589</v>
      </c>
    </row>
    <row r="111" customFormat="false" ht="23.85" hidden="false" customHeight="false" outlineLevel="0" collapsed="false">
      <c r="A111" s="18" t="s">
        <v>590</v>
      </c>
      <c r="B111" s="18" t="s">
        <v>547</v>
      </c>
      <c r="C111" s="18" t="s">
        <v>591</v>
      </c>
      <c r="D111" s="18" t="s">
        <v>592</v>
      </c>
      <c r="E111" s="18" t="s">
        <v>71</v>
      </c>
      <c r="F111" s="18" t="s">
        <v>124</v>
      </c>
      <c r="G111" s="18" t="s">
        <v>125</v>
      </c>
      <c r="H111" s="21" t="s">
        <v>19</v>
      </c>
      <c r="I111" s="18" t="s">
        <v>284</v>
      </c>
      <c r="J111" s="18" t="s">
        <v>127</v>
      </c>
      <c r="K111" s="18" t="s">
        <v>125</v>
      </c>
      <c r="L111" s="18"/>
    </row>
    <row r="112" customFormat="false" ht="15" hidden="false" customHeight="false" outlineLevel="0" collapsed="false">
      <c r="A112" s="18" t="s">
        <v>593</v>
      </c>
      <c r="B112" s="18" t="s">
        <v>547</v>
      </c>
      <c r="C112" s="18" t="s">
        <v>594</v>
      </c>
      <c r="D112" s="18" t="s">
        <v>595</v>
      </c>
      <c r="E112" s="18" t="s">
        <v>71</v>
      </c>
      <c r="F112" s="18" t="s">
        <v>223</v>
      </c>
      <c r="G112" s="18" t="s">
        <v>125</v>
      </c>
      <c r="H112" s="21" t="s">
        <v>19</v>
      </c>
      <c r="I112" s="18" t="s">
        <v>295</v>
      </c>
      <c r="J112" s="18" t="s">
        <v>145</v>
      </c>
      <c r="K112" s="18" t="s">
        <v>596</v>
      </c>
      <c r="L112" s="18" t="s">
        <v>597</v>
      </c>
    </row>
    <row r="113" customFormat="false" ht="23.85" hidden="false" customHeight="false" outlineLevel="0" collapsed="false">
      <c r="A113" s="18" t="s">
        <v>598</v>
      </c>
      <c r="B113" s="18" t="s">
        <v>547</v>
      </c>
      <c r="C113" s="18" t="s">
        <v>599</v>
      </c>
      <c r="D113" s="18" t="s">
        <v>600</v>
      </c>
      <c r="E113" s="18" t="s">
        <v>71</v>
      </c>
      <c r="F113" s="18" t="s">
        <v>223</v>
      </c>
      <c r="G113" s="18" t="s">
        <v>125</v>
      </c>
      <c r="H113" s="21" t="s">
        <v>19</v>
      </c>
      <c r="I113" s="18" t="s">
        <v>295</v>
      </c>
      <c r="J113" s="18" t="s">
        <v>127</v>
      </c>
      <c r="K113" s="18" t="s">
        <v>125</v>
      </c>
      <c r="L113" s="18" t="s">
        <v>601</v>
      </c>
    </row>
    <row r="114" customFormat="false" ht="15" hidden="false" customHeight="false" outlineLevel="0" collapsed="false">
      <c r="A114" s="18" t="s">
        <v>602</v>
      </c>
      <c r="B114" s="18" t="s">
        <v>547</v>
      </c>
      <c r="C114" s="18" t="s">
        <v>603</v>
      </c>
      <c r="D114" s="18" t="s">
        <v>604</v>
      </c>
      <c r="E114" s="18" t="s">
        <v>71</v>
      </c>
      <c r="F114" s="18" t="s">
        <v>124</v>
      </c>
      <c r="G114" s="18" t="s">
        <v>125</v>
      </c>
      <c r="H114" s="20" t="s">
        <v>17</v>
      </c>
      <c r="I114" s="18" t="s">
        <v>170</v>
      </c>
      <c r="J114" s="18" t="s">
        <v>127</v>
      </c>
      <c r="K114" s="18" t="s">
        <v>125</v>
      </c>
      <c r="L114" s="18"/>
    </row>
    <row r="115" customFormat="false" ht="15" hidden="false" customHeight="false" outlineLevel="0" collapsed="false">
      <c r="A115" s="18" t="s">
        <v>605</v>
      </c>
      <c r="B115" s="18" t="s">
        <v>606</v>
      </c>
      <c r="C115" s="18" t="s">
        <v>607</v>
      </c>
      <c r="D115" s="18" t="s">
        <v>138</v>
      </c>
      <c r="E115" s="18" t="s">
        <v>76</v>
      </c>
      <c r="F115" s="18" t="s">
        <v>124</v>
      </c>
      <c r="G115" s="18" t="s">
        <v>125</v>
      </c>
      <c r="H115" s="20" t="s">
        <v>17</v>
      </c>
      <c r="I115" s="18" t="s">
        <v>170</v>
      </c>
      <c r="J115" s="18" t="s">
        <v>127</v>
      </c>
      <c r="K115" s="18" t="s">
        <v>125</v>
      </c>
      <c r="L115" s="18" t="s">
        <v>608</v>
      </c>
    </row>
    <row r="116" customFormat="false" ht="15" hidden="false" customHeight="false" outlineLevel="0" collapsed="false">
      <c r="A116" s="18" t="s">
        <v>609</v>
      </c>
      <c r="B116" s="18" t="s">
        <v>606</v>
      </c>
      <c r="C116" s="18" t="s">
        <v>437</v>
      </c>
      <c r="D116" s="18" t="s">
        <v>610</v>
      </c>
      <c r="E116" s="18" t="s">
        <v>76</v>
      </c>
      <c r="F116" s="18" t="s">
        <v>124</v>
      </c>
      <c r="G116" s="18" t="s">
        <v>125</v>
      </c>
      <c r="H116" s="21" t="s">
        <v>19</v>
      </c>
      <c r="I116" s="18" t="s">
        <v>224</v>
      </c>
      <c r="J116" s="18" t="s">
        <v>127</v>
      </c>
      <c r="K116" s="18" t="s">
        <v>125</v>
      </c>
      <c r="L116" s="18"/>
    </row>
    <row r="117" customFormat="false" ht="15" hidden="false" customHeight="false" outlineLevel="0" collapsed="false">
      <c r="A117" s="18" t="s">
        <v>611</v>
      </c>
      <c r="B117" s="18" t="s">
        <v>606</v>
      </c>
      <c r="C117" s="18" t="s">
        <v>612</v>
      </c>
      <c r="D117" s="18" t="s">
        <v>205</v>
      </c>
      <c r="E117" s="18" t="s">
        <v>76</v>
      </c>
      <c r="F117" s="18" t="s">
        <v>169</v>
      </c>
      <c r="G117" s="18" t="s">
        <v>483</v>
      </c>
      <c r="H117" s="20" t="s">
        <v>17</v>
      </c>
      <c r="I117" s="18" t="s">
        <v>196</v>
      </c>
      <c r="J117" s="18" t="s">
        <v>145</v>
      </c>
      <c r="K117" s="18" t="s">
        <v>171</v>
      </c>
      <c r="L117" s="18"/>
    </row>
    <row r="118" customFormat="false" ht="15" hidden="false" customHeight="false" outlineLevel="0" collapsed="false">
      <c r="A118" s="18" t="s">
        <v>613</v>
      </c>
      <c r="B118" s="18" t="s">
        <v>606</v>
      </c>
      <c r="C118" s="18" t="s">
        <v>614</v>
      </c>
      <c r="D118" s="18" t="s">
        <v>615</v>
      </c>
      <c r="E118" s="18" t="s">
        <v>76</v>
      </c>
      <c r="F118" s="18" t="s">
        <v>169</v>
      </c>
      <c r="G118" s="18" t="s">
        <v>616</v>
      </c>
      <c r="H118" s="21" t="s">
        <v>19</v>
      </c>
      <c r="I118" s="18" t="s">
        <v>617</v>
      </c>
      <c r="J118" s="18" t="s">
        <v>145</v>
      </c>
      <c r="K118" s="18" t="s">
        <v>125</v>
      </c>
      <c r="L118" s="18"/>
    </row>
    <row r="119" customFormat="false" ht="15" hidden="false" customHeight="false" outlineLevel="0" collapsed="false">
      <c r="A119" s="18" t="s">
        <v>618</v>
      </c>
      <c r="B119" s="18" t="s">
        <v>606</v>
      </c>
      <c r="C119" s="18" t="s">
        <v>619</v>
      </c>
      <c r="D119" s="18" t="s">
        <v>202</v>
      </c>
      <c r="E119" s="18" t="s">
        <v>76</v>
      </c>
      <c r="F119" s="18" t="s">
        <v>124</v>
      </c>
      <c r="G119" s="18" t="s">
        <v>125</v>
      </c>
      <c r="H119" s="20" t="s">
        <v>17</v>
      </c>
      <c r="I119" s="18" t="s">
        <v>196</v>
      </c>
      <c r="J119" s="18" t="s">
        <v>127</v>
      </c>
      <c r="K119" s="18" t="s">
        <v>156</v>
      </c>
      <c r="L119" s="18"/>
    </row>
    <row r="120" customFormat="false" ht="15" hidden="false" customHeight="false" outlineLevel="0" collapsed="false">
      <c r="A120" s="18" t="s">
        <v>620</v>
      </c>
      <c r="B120" s="18" t="s">
        <v>606</v>
      </c>
      <c r="C120" s="18" t="s">
        <v>621</v>
      </c>
      <c r="D120" s="18" t="s">
        <v>622</v>
      </c>
      <c r="E120" s="18" t="s">
        <v>76</v>
      </c>
      <c r="F120" s="18" t="s">
        <v>169</v>
      </c>
      <c r="G120" s="18" t="s">
        <v>162</v>
      </c>
      <c r="H120" s="21" t="s">
        <v>19</v>
      </c>
      <c r="I120" s="18" t="s">
        <v>224</v>
      </c>
      <c r="J120" s="18" t="s">
        <v>127</v>
      </c>
      <c r="K120" s="18" t="s">
        <v>623</v>
      </c>
      <c r="L120" s="18" t="s">
        <v>624</v>
      </c>
    </row>
    <row r="121" customFormat="false" ht="15" hidden="false" customHeight="false" outlineLevel="0" collapsed="false">
      <c r="A121" s="18" t="s">
        <v>625</v>
      </c>
      <c r="B121" s="18" t="s">
        <v>606</v>
      </c>
      <c r="C121" s="18" t="s">
        <v>626</v>
      </c>
      <c r="D121" s="18" t="s">
        <v>627</v>
      </c>
      <c r="E121" s="18" t="s">
        <v>76</v>
      </c>
      <c r="F121" s="18" t="s">
        <v>169</v>
      </c>
      <c r="G121" s="18" t="s">
        <v>162</v>
      </c>
      <c r="H121" s="21" t="s">
        <v>19</v>
      </c>
      <c r="I121" s="18" t="s">
        <v>224</v>
      </c>
      <c r="J121" s="18" t="s">
        <v>127</v>
      </c>
      <c r="K121" s="18" t="s">
        <v>623</v>
      </c>
      <c r="L121" s="18" t="s">
        <v>624</v>
      </c>
    </row>
    <row r="122" customFormat="false" ht="15" hidden="false" customHeight="false" outlineLevel="0" collapsed="false">
      <c r="A122" s="18" t="s">
        <v>628</v>
      </c>
      <c r="B122" s="18" t="s">
        <v>606</v>
      </c>
      <c r="C122" s="18" t="s">
        <v>629</v>
      </c>
      <c r="D122" s="18" t="s">
        <v>630</v>
      </c>
      <c r="E122" s="18" t="s">
        <v>76</v>
      </c>
      <c r="F122" s="18" t="s">
        <v>124</v>
      </c>
      <c r="G122" s="18" t="s">
        <v>125</v>
      </c>
      <c r="H122" s="21" t="s">
        <v>19</v>
      </c>
      <c r="I122" s="18" t="s">
        <v>224</v>
      </c>
      <c r="J122" s="18" t="s">
        <v>145</v>
      </c>
      <c r="K122" s="18" t="s">
        <v>125</v>
      </c>
      <c r="L122" s="18"/>
    </row>
    <row r="123" customFormat="false" ht="15" hidden="false" customHeight="false" outlineLevel="0" collapsed="false">
      <c r="A123" s="18" t="s">
        <v>631</v>
      </c>
      <c r="B123" s="18" t="s">
        <v>632</v>
      </c>
      <c r="C123" s="18" t="s">
        <v>633</v>
      </c>
      <c r="D123" s="18" t="s">
        <v>253</v>
      </c>
      <c r="E123" s="18" t="s">
        <v>634</v>
      </c>
      <c r="F123" s="18" t="s">
        <v>124</v>
      </c>
      <c r="G123" s="18" t="s">
        <v>125</v>
      </c>
      <c r="H123" s="20" t="s">
        <v>17</v>
      </c>
      <c r="I123" s="18" t="s">
        <v>384</v>
      </c>
      <c r="J123" s="18" t="s">
        <v>127</v>
      </c>
      <c r="K123" s="18" t="s">
        <v>255</v>
      </c>
      <c r="L123" s="18"/>
    </row>
    <row r="124" customFormat="false" ht="15" hidden="false" customHeight="false" outlineLevel="0" collapsed="false">
      <c r="A124" s="18" t="s">
        <v>635</v>
      </c>
      <c r="B124" s="18" t="s">
        <v>632</v>
      </c>
      <c r="C124" s="18" t="s">
        <v>636</v>
      </c>
      <c r="D124" s="18" t="s">
        <v>637</v>
      </c>
      <c r="E124" s="18" t="s">
        <v>634</v>
      </c>
      <c r="F124" s="18" t="s">
        <v>169</v>
      </c>
      <c r="G124" s="18" t="s">
        <v>483</v>
      </c>
      <c r="H124" s="22" t="s">
        <v>15</v>
      </c>
      <c r="I124" s="18" t="s">
        <v>638</v>
      </c>
      <c r="J124" s="18" t="s">
        <v>127</v>
      </c>
      <c r="K124" s="18" t="s">
        <v>639</v>
      </c>
      <c r="L124" s="18"/>
    </row>
    <row r="125" customFormat="false" ht="15" hidden="false" customHeight="false" outlineLevel="0" collapsed="false">
      <c r="A125" s="18" t="s">
        <v>640</v>
      </c>
      <c r="B125" s="18" t="s">
        <v>632</v>
      </c>
      <c r="C125" s="18" t="s">
        <v>641</v>
      </c>
      <c r="D125" s="18" t="s">
        <v>642</v>
      </c>
      <c r="E125" s="18" t="s">
        <v>634</v>
      </c>
      <c r="F125" s="18" t="s">
        <v>124</v>
      </c>
      <c r="G125" s="18" t="s">
        <v>125</v>
      </c>
      <c r="H125" s="21" t="s">
        <v>19</v>
      </c>
      <c r="I125" s="18" t="s">
        <v>224</v>
      </c>
      <c r="J125" s="18" t="s">
        <v>145</v>
      </c>
      <c r="K125" s="18" t="s">
        <v>125</v>
      </c>
      <c r="L125" s="1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24" hidden="false" customHeight="true" outlineLevel="0" collapsed="false">
      <c r="A1" s="15" t="s">
        <v>643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</row>
    <row r="3" customFormat="false" ht="30" hidden="false" customHeight="true" outlineLevel="0" collapsed="false">
      <c r="A3" s="17" t="s">
        <v>644</v>
      </c>
      <c r="B3" s="17" t="s">
        <v>645</v>
      </c>
      <c r="C3" s="17" t="s">
        <v>646</v>
      </c>
      <c r="D3" s="17" t="s">
        <v>647</v>
      </c>
      <c r="E3" s="17" t="s">
        <v>648</v>
      </c>
      <c r="F3" s="17" t="s">
        <v>118</v>
      </c>
    </row>
    <row r="4" customFormat="false" ht="15" hidden="false" customHeight="false" outlineLevel="0" collapsed="false">
      <c r="A4" s="18" t="s">
        <v>649</v>
      </c>
      <c r="B4" s="18" t="s">
        <v>138</v>
      </c>
      <c r="C4" s="18" t="s">
        <v>123</v>
      </c>
      <c r="D4" s="18" t="s">
        <v>52</v>
      </c>
      <c r="E4" s="18" t="s">
        <v>125</v>
      </c>
      <c r="F4" s="18" t="s">
        <v>650</v>
      </c>
    </row>
    <row r="5" customFormat="false" ht="15" hidden="false" customHeight="false" outlineLevel="0" collapsed="false">
      <c r="A5" s="18" t="s">
        <v>143</v>
      </c>
      <c r="B5" s="18" t="s">
        <v>144</v>
      </c>
      <c r="C5" s="18" t="s">
        <v>123</v>
      </c>
      <c r="D5" s="18" t="s">
        <v>52</v>
      </c>
      <c r="E5" s="18" t="s">
        <v>125</v>
      </c>
      <c r="F5" s="18" t="s">
        <v>651</v>
      </c>
    </row>
    <row r="6" customFormat="false" ht="15" hidden="false" customHeight="false" outlineLevel="0" collapsed="false">
      <c r="A6" s="18" t="s">
        <v>149</v>
      </c>
      <c r="B6" s="18" t="s">
        <v>150</v>
      </c>
      <c r="C6" s="18" t="s">
        <v>123</v>
      </c>
      <c r="D6" s="18" t="s">
        <v>52</v>
      </c>
      <c r="E6" s="18" t="s">
        <v>125</v>
      </c>
      <c r="F6" s="18" t="s">
        <v>151</v>
      </c>
    </row>
    <row r="7" customFormat="false" ht="15" hidden="false" customHeight="false" outlineLevel="0" collapsed="false">
      <c r="A7" s="18" t="s">
        <v>652</v>
      </c>
      <c r="B7" s="18" t="s">
        <v>154</v>
      </c>
      <c r="C7" s="18" t="s">
        <v>123</v>
      </c>
      <c r="D7" s="18" t="s">
        <v>52</v>
      </c>
      <c r="E7" s="18" t="s">
        <v>125</v>
      </c>
      <c r="F7" s="18" t="s">
        <v>156</v>
      </c>
    </row>
    <row r="8" customFormat="false" ht="15" hidden="false" customHeight="false" outlineLevel="0" collapsed="false">
      <c r="A8" s="18" t="s">
        <v>653</v>
      </c>
      <c r="B8" s="18" t="s">
        <v>160</v>
      </c>
      <c r="C8" s="18" t="s">
        <v>123</v>
      </c>
      <c r="D8" s="18" t="s">
        <v>52</v>
      </c>
      <c r="E8" s="18" t="s">
        <v>125</v>
      </c>
      <c r="F8" s="18" t="s">
        <v>654</v>
      </c>
    </row>
    <row r="9" customFormat="false" ht="15" hidden="false" customHeight="false" outlineLevel="0" collapsed="false">
      <c r="A9" s="18" t="s">
        <v>655</v>
      </c>
      <c r="B9" s="18" t="s">
        <v>168</v>
      </c>
      <c r="C9" s="18" t="s">
        <v>123</v>
      </c>
      <c r="D9" s="18" t="s">
        <v>52</v>
      </c>
      <c r="E9" s="18" t="s">
        <v>125</v>
      </c>
      <c r="F9" s="18"/>
    </row>
    <row r="10" customFormat="false" ht="15" hidden="false" customHeight="false" outlineLevel="0" collapsed="false">
      <c r="A10" s="18" t="s">
        <v>174</v>
      </c>
      <c r="B10" s="18" t="s">
        <v>175</v>
      </c>
      <c r="C10" s="18" t="s">
        <v>123</v>
      </c>
      <c r="D10" s="18" t="s">
        <v>52</v>
      </c>
      <c r="E10" s="18" t="s">
        <v>125</v>
      </c>
      <c r="F10" s="18"/>
    </row>
    <row r="11" customFormat="false" ht="15" hidden="false" customHeight="false" outlineLevel="0" collapsed="false">
      <c r="A11" s="18" t="s">
        <v>656</v>
      </c>
      <c r="B11" s="18" t="s">
        <v>657</v>
      </c>
      <c r="C11" s="18" t="s">
        <v>123</v>
      </c>
      <c r="D11" s="18" t="s">
        <v>52</v>
      </c>
      <c r="E11" s="18" t="s">
        <v>125</v>
      </c>
      <c r="F11" s="18" t="s">
        <v>658</v>
      </c>
    </row>
    <row r="12" customFormat="false" ht="15" hidden="false" customHeight="false" outlineLevel="0" collapsed="false">
      <c r="A12" s="18" t="s">
        <v>659</v>
      </c>
      <c r="B12" s="18" t="s">
        <v>190</v>
      </c>
      <c r="C12" s="18" t="s">
        <v>76</v>
      </c>
      <c r="D12" s="18" t="s">
        <v>52</v>
      </c>
      <c r="E12" s="18" t="s">
        <v>125</v>
      </c>
      <c r="F12" s="18" t="s">
        <v>660</v>
      </c>
    </row>
    <row r="13" customFormat="false" ht="15" hidden="false" customHeight="false" outlineLevel="0" collapsed="false">
      <c r="A13" s="18" t="s">
        <v>661</v>
      </c>
      <c r="B13" s="18" t="s">
        <v>662</v>
      </c>
      <c r="C13" s="18" t="s">
        <v>76</v>
      </c>
      <c r="D13" s="18" t="s">
        <v>52</v>
      </c>
      <c r="E13" s="18" t="s">
        <v>125</v>
      </c>
      <c r="F13" s="18"/>
    </row>
    <row r="14" customFormat="false" ht="15" hidden="false" customHeight="false" outlineLevel="0" collapsed="false">
      <c r="A14" s="18" t="s">
        <v>663</v>
      </c>
      <c r="B14" s="18" t="s">
        <v>205</v>
      </c>
      <c r="C14" s="18" t="s">
        <v>76</v>
      </c>
      <c r="D14" s="18" t="s">
        <v>52</v>
      </c>
      <c r="E14" s="18" t="s">
        <v>125</v>
      </c>
      <c r="F14" s="18" t="s">
        <v>207</v>
      </c>
    </row>
    <row r="15" customFormat="false" ht="15" hidden="false" customHeight="false" outlineLevel="0" collapsed="false">
      <c r="A15" s="18" t="s">
        <v>664</v>
      </c>
      <c r="B15" s="18" t="s">
        <v>665</v>
      </c>
      <c r="C15" s="18" t="s">
        <v>666</v>
      </c>
      <c r="D15" s="18" t="s">
        <v>52</v>
      </c>
      <c r="E15" s="18" t="s">
        <v>125</v>
      </c>
      <c r="F15" s="18" t="s">
        <v>667</v>
      </c>
    </row>
    <row r="16" customFormat="false" ht="15" hidden="false" customHeight="false" outlineLevel="0" collapsed="false">
      <c r="A16" s="18" t="s">
        <v>668</v>
      </c>
      <c r="B16" s="18" t="s">
        <v>669</v>
      </c>
      <c r="C16" s="18" t="s">
        <v>123</v>
      </c>
      <c r="D16" s="18" t="s">
        <v>125</v>
      </c>
      <c r="E16" s="18" t="s">
        <v>52</v>
      </c>
      <c r="F16" s="18" t="s">
        <v>670</v>
      </c>
    </row>
    <row r="17" customFormat="false" ht="15" hidden="false" customHeight="false" outlineLevel="0" collapsed="false">
      <c r="A17" s="18" t="s">
        <v>671</v>
      </c>
      <c r="B17" s="18" t="s">
        <v>672</v>
      </c>
      <c r="C17" s="18" t="s">
        <v>123</v>
      </c>
      <c r="D17" s="18" t="s">
        <v>125</v>
      </c>
      <c r="E17" s="18" t="s">
        <v>52</v>
      </c>
      <c r="F17" s="18" t="s">
        <v>670</v>
      </c>
    </row>
    <row r="18" customFormat="false" ht="15" hidden="false" customHeight="false" outlineLevel="0" collapsed="false">
      <c r="A18" s="18" t="s">
        <v>673</v>
      </c>
      <c r="B18" s="18" t="s">
        <v>674</v>
      </c>
      <c r="C18" s="18" t="s">
        <v>445</v>
      </c>
      <c r="D18" s="18" t="s">
        <v>125</v>
      </c>
      <c r="E18" s="18" t="s">
        <v>52</v>
      </c>
      <c r="F18" s="18" t="s">
        <v>675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10"/>
    <col collapsed="false" customWidth="true" hidden="false" outlineLevel="0" max="6" min="5" style="0" width="26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15" t="s">
        <v>676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30" hidden="false" customHeight="true" outlineLevel="0" collapsed="false">
      <c r="A3" s="17" t="s">
        <v>677</v>
      </c>
      <c r="B3" s="17" t="s">
        <v>678</v>
      </c>
      <c r="C3" s="17" t="s">
        <v>646</v>
      </c>
      <c r="D3" s="17" t="s">
        <v>113</v>
      </c>
      <c r="E3" s="17" t="s">
        <v>679</v>
      </c>
      <c r="F3" s="17" t="s">
        <v>680</v>
      </c>
      <c r="G3" s="17" t="s">
        <v>681</v>
      </c>
      <c r="H3" s="17" t="s">
        <v>682</v>
      </c>
      <c r="I3" s="17" t="s">
        <v>683</v>
      </c>
      <c r="J3" s="17" t="s">
        <v>684</v>
      </c>
    </row>
    <row r="4" customFormat="false" ht="23.85" hidden="false" customHeight="false" outlineLevel="0" collapsed="false">
      <c r="A4" s="18" t="s">
        <v>685</v>
      </c>
      <c r="B4" s="18" t="s">
        <v>373</v>
      </c>
      <c r="C4" s="18" t="s">
        <v>686</v>
      </c>
      <c r="D4" s="18" t="s">
        <v>374</v>
      </c>
      <c r="E4" s="18" t="s">
        <v>687</v>
      </c>
      <c r="F4" s="18" t="s">
        <v>688</v>
      </c>
      <c r="G4" s="18" t="s">
        <v>689</v>
      </c>
      <c r="H4" s="18" t="s">
        <v>690</v>
      </c>
      <c r="I4" s="18" t="s">
        <v>691</v>
      </c>
      <c r="J4" s="18" t="s">
        <v>692</v>
      </c>
    </row>
    <row r="5" customFormat="false" ht="23.85" hidden="false" customHeight="false" outlineLevel="0" collapsed="false">
      <c r="A5" s="18" t="s">
        <v>693</v>
      </c>
      <c r="B5" s="18" t="s">
        <v>366</v>
      </c>
      <c r="C5" s="18" t="s">
        <v>686</v>
      </c>
      <c r="D5" s="18" t="s">
        <v>367</v>
      </c>
      <c r="E5" s="18" t="s">
        <v>694</v>
      </c>
      <c r="F5" s="18" t="s">
        <v>688</v>
      </c>
      <c r="G5" s="18" t="s">
        <v>689</v>
      </c>
      <c r="H5" s="18" t="s">
        <v>695</v>
      </c>
      <c r="I5" s="18" t="s">
        <v>691</v>
      </c>
      <c r="J5" s="18" t="s">
        <v>696</v>
      </c>
    </row>
    <row r="6" customFormat="false" ht="15" hidden="false" customHeight="false" outlineLevel="0" collapsed="false">
      <c r="A6" s="18" t="s">
        <v>697</v>
      </c>
      <c r="B6" s="18" t="s">
        <v>698</v>
      </c>
      <c r="C6" s="18" t="s">
        <v>686</v>
      </c>
      <c r="D6" s="18" t="s">
        <v>326</v>
      </c>
      <c r="E6" s="18" t="s">
        <v>694</v>
      </c>
      <c r="F6" s="18" t="s">
        <v>688</v>
      </c>
      <c r="G6" s="18" t="s">
        <v>689</v>
      </c>
      <c r="H6" s="18" t="s">
        <v>695</v>
      </c>
      <c r="I6" s="18" t="s">
        <v>691</v>
      </c>
      <c r="J6" s="18" t="s">
        <v>699</v>
      </c>
    </row>
    <row r="7" customFormat="false" ht="15" hidden="false" customHeight="false" outlineLevel="0" collapsed="false">
      <c r="A7" s="18" t="s">
        <v>700</v>
      </c>
      <c r="B7" s="18" t="s">
        <v>418</v>
      </c>
      <c r="C7" s="18" t="s">
        <v>419</v>
      </c>
      <c r="D7" s="18" t="s">
        <v>420</v>
      </c>
      <c r="E7" s="18" t="s">
        <v>694</v>
      </c>
      <c r="F7" s="18" t="s">
        <v>688</v>
      </c>
      <c r="G7" s="18" t="s">
        <v>689</v>
      </c>
      <c r="H7" s="18" t="s">
        <v>695</v>
      </c>
      <c r="I7" s="18" t="s">
        <v>691</v>
      </c>
      <c r="J7" s="18" t="s">
        <v>701</v>
      </c>
    </row>
    <row r="8" customFormat="false" ht="15" hidden="false" customHeight="false" outlineLevel="0" collapsed="false">
      <c r="A8" s="18" t="s">
        <v>702</v>
      </c>
      <c r="B8" s="18" t="s">
        <v>274</v>
      </c>
      <c r="C8" s="18" t="s">
        <v>703</v>
      </c>
      <c r="D8" s="18" t="s">
        <v>162</v>
      </c>
      <c r="E8" s="18" t="s">
        <v>694</v>
      </c>
      <c r="F8" s="18" t="s">
        <v>688</v>
      </c>
      <c r="G8" s="18" t="s">
        <v>689</v>
      </c>
      <c r="H8" s="18" t="s">
        <v>695</v>
      </c>
      <c r="I8" s="18" t="s">
        <v>691</v>
      </c>
      <c r="J8" s="18" t="s">
        <v>704</v>
      </c>
    </row>
    <row r="9" customFormat="false" ht="23.85" hidden="false" customHeight="false" outlineLevel="0" collapsed="false">
      <c r="A9" s="18" t="s">
        <v>705</v>
      </c>
      <c r="B9" s="18" t="s">
        <v>427</v>
      </c>
      <c r="C9" s="18" t="s">
        <v>419</v>
      </c>
      <c r="D9" s="18" t="s">
        <v>125</v>
      </c>
      <c r="E9" s="18" t="s">
        <v>694</v>
      </c>
      <c r="F9" s="18" t="s">
        <v>688</v>
      </c>
      <c r="G9" s="18" t="s">
        <v>689</v>
      </c>
      <c r="H9" s="18" t="s">
        <v>695</v>
      </c>
      <c r="I9" s="18" t="s">
        <v>691</v>
      </c>
      <c r="J9" s="18" t="s">
        <v>706</v>
      </c>
    </row>
    <row r="10" customFormat="false" ht="15" hidden="false" customHeight="false" outlineLevel="0" collapsed="false">
      <c r="A10" s="18" t="s">
        <v>707</v>
      </c>
      <c r="B10" s="18" t="s">
        <v>708</v>
      </c>
      <c r="C10" s="18" t="s">
        <v>709</v>
      </c>
      <c r="D10" s="18" t="s">
        <v>124</v>
      </c>
      <c r="E10" s="18" t="s">
        <v>710</v>
      </c>
      <c r="F10" s="18" t="s">
        <v>688</v>
      </c>
      <c r="G10" s="18" t="s">
        <v>689</v>
      </c>
      <c r="H10" s="18" t="s">
        <v>695</v>
      </c>
      <c r="I10" s="18" t="s">
        <v>711</v>
      </c>
      <c r="J10" s="18" t="s">
        <v>712</v>
      </c>
    </row>
    <row r="11" customFormat="false" ht="23.85" hidden="false" customHeight="false" outlineLevel="0" collapsed="false">
      <c r="A11" s="18" t="s">
        <v>713</v>
      </c>
      <c r="B11" s="18" t="s">
        <v>509</v>
      </c>
      <c r="C11" s="18" t="s">
        <v>419</v>
      </c>
      <c r="D11" s="18" t="s">
        <v>510</v>
      </c>
      <c r="E11" s="18" t="s">
        <v>714</v>
      </c>
      <c r="F11" s="18" t="s">
        <v>688</v>
      </c>
      <c r="G11" s="18" t="s">
        <v>715</v>
      </c>
      <c r="H11" s="18" t="s">
        <v>716</v>
      </c>
      <c r="I11" s="18" t="s">
        <v>691</v>
      </c>
      <c r="J11" s="18" t="s">
        <v>717</v>
      </c>
    </row>
    <row r="12" customFormat="false" ht="15" hidden="false" customHeight="false" outlineLevel="0" collapsed="false">
      <c r="A12" s="18" t="s">
        <v>718</v>
      </c>
      <c r="B12" s="18" t="s">
        <v>719</v>
      </c>
      <c r="C12" s="18" t="s">
        <v>720</v>
      </c>
      <c r="D12" s="18" t="s">
        <v>721</v>
      </c>
      <c r="E12" s="18" t="s">
        <v>722</v>
      </c>
      <c r="F12" s="18" t="s">
        <v>723</v>
      </c>
      <c r="G12" s="18" t="s">
        <v>689</v>
      </c>
      <c r="H12" s="18" t="s">
        <v>724</v>
      </c>
      <c r="I12" s="18" t="s">
        <v>725</v>
      </c>
      <c r="J12" s="18" t="s">
        <v>726</v>
      </c>
    </row>
    <row r="13" customFormat="false" ht="15" hidden="false" customHeight="false" outlineLevel="0" collapsed="false">
      <c r="A13" s="18" t="s">
        <v>727</v>
      </c>
      <c r="B13" s="18" t="s">
        <v>728</v>
      </c>
      <c r="C13" s="18" t="s">
        <v>729</v>
      </c>
      <c r="D13" s="18" t="s">
        <v>162</v>
      </c>
      <c r="E13" s="18" t="s">
        <v>722</v>
      </c>
      <c r="F13" s="18" t="s">
        <v>730</v>
      </c>
      <c r="G13" s="18" t="s">
        <v>689</v>
      </c>
      <c r="H13" s="18" t="s">
        <v>724</v>
      </c>
      <c r="I13" s="18" t="s">
        <v>725</v>
      </c>
      <c r="J13" s="18" t="s">
        <v>731</v>
      </c>
    </row>
    <row r="14" customFormat="false" ht="23.85" hidden="false" customHeight="false" outlineLevel="0" collapsed="false">
      <c r="A14" s="18" t="s">
        <v>732</v>
      </c>
      <c r="B14" s="18" t="s">
        <v>733</v>
      </c>
      <c r="C14" s="18" t="s">
        <v>419</v>
      </c>
      <c r="D14" s="18" t="s">
        <v>125</v>
      </c>
      <c r="E14" s="18" t="s">
        <v>734</v>
      </c>
      <c r="F14" s="18" t="s">
        <v>735</v>
      </c>
      <c r="G14" s="18" t="s">
        <v>736</v>
      </c>
      <c r="H14" s="18" t="s">
        <v>737</v>
      </c>
      <c r="I14" s="18" t="s">
        <v>738</v>
      </c>
      <c r="J14" s="18" t="s">
        <v>739</v>
      </c>
    </row>
    <row r="15" customFormat="false" ht="15" hidden="false" customHeight="false" outlineLevel="0" collapsed="false">
      <c r="A15" s="18" t="s">
        <v>740</v>
      </c>
      <c r="B15" s="18" t="s">
        <v>708</v>
      </c>
      <c r="C15" s="18" t="s">
        <v>709</v>
      </c>
      <c r="D15" s="18" t="s">
        <v>216</v>
      </c>
      <c r="E15" s="18" t="s">
        <v>741</v>
      </c>
      <c r="F15" s="18" t="s">
        <v>742</v>
      </c>
      <c r="G15" s="18" t="s">
        <v>743</v>
      </c>
      <c r="H15" s="18" t="s">
        <v>744</v>
      </c>
      <c r="I15" s="18" t="s">
        <v>738</v>
      </c>
      <c r="J15" s="18" t="s">
        <v>745</v>
      </c>
    </row>
    <row r="16" customFormat="false" ht="15" hidden="false" customHeight="false" outlineLevel="0" collapsed="false">
      <c r="A16" s="18" t="s">
        <v>746</v>
      </c>
      <c r="B16" s="18" t="s">
        <v>398</v>
      </c>
      <c r="C16" s="18" t="s">
        <v>686</v>
      </c>
      <c r="D16" s="18" t="s">
        <v>399</v>
      </c>
      <c r="E16" s="18" t="s">
        <v>747</v>
      </c>
      <c r="F16" s="18" t="s">
        <v>125</v>
      </c>
      <c r="G16" s="18" t="s">
        <v>125</v>
      </c>
      <c r="H16" s="18" t="s">
        <v>125</v>
      </c>
      <c r="I16" s="18" t="s">
        <v>748</v>
      </c>
      <c r="J16" s="18" t="s">
        <v>403</v>
      </c>
    </row>
    <row r="17" customFormat="false" ht="15" hidden="false" customHeight="false" outlineLevel="0" collapsed="false">
      <c r="A17" s="18" t="s">
        <v>749</v>
      </c>
      <c r="B17" s="18" t="s">
        <v>750</v>
      </c>
      <c r="C17" s="18" t="s">
        <v>419</v>
      </c>
      <c r="D17" s="18" t="s">
        <v>125</v>
      </c>
      <c r="E17" s="18" t="s">
        <v>751</v>
      </c>
      <c r="F17" s="18" t="s">
        <v>752</v>
      </c>
      <c r="G17" s="18" t="s">
        <v>689</v>
      </c>
      <c r="H17" s="18" t="s">
        <v>753</v>
      </c>
      <c r="I17" s="18" t="s">
        <v>725</v>
      </c>
      <c r="J17" s="18" t="s">
        <v>754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20"/>
    <col collapsed="false" customWidth="true" hidden="false" outlineLevel="0" max="8" min="7" style="0" width="13"/>
  </cols>
  <sheetData>
    <row r="1" customFormat="false" ht="24" hidden="false" customHeight="true" outlineLevel="0" collapsed="false">
      <c r="A1" s="15" t="s">
        <v>755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</row>
    <row r="3" customFormat="false" ht="30" hidden="false" customHeight="true" outlineLevel="0" collapsed="false">
      <c r="A3" s="17" t="s">
        <v>756</v>
      </c>
      <c r="B3" s="17" t="s">
        <v>757</v>
      </c>
      <c r="C3" s="17" t="s">
        <v>758</v>
      </c>
      <c r="D3" s="17" t="s">
        <v>759</v>
      </c>
      <c r="E3" s="17" t="s">
        <v>760</v>
      </c>
      <c r="F3" s="17" t="s">
        <v>761</v>
      </c>
      <c r="G3" s="17" t="s">
        <v>762</v>
      </c>
      <c r="H3" s="17" t="s">
        <v>763</v>
      </c>
    </row>
    <row r="4" customFormat="false" ht="15" hidden="false" customHeight="false" outlineLevel="0" collapsed="false">
      <c r="A4" s="18" t="s">
        <v>764</v>
      </c>
      <c r="B4" s="18" t="s">
        <v>765</v>
      </c>
      <c r="C4" s="18" t="s">
        <v>766</v>
      </c>
      <c r="D4" s="18" t="n">
        <v>20</v>
      </c>
      <c r="E4" s="18" t="n">
        <v>30</v>
      </c>
      <c r="F4" s="18" t="s">
        <v>767</v>
      </c>
      <c r="G4" s="18" t="n">
        <v>30</v>
      </c>
      <c r="H4" s="18" t="n">
        <v>45</v>
      </c>
    </row>
    <row r="5" customFormat="false" ht="15" hidden="false" customHeight="false" outlineLevel="0" collapsed="false">
      <c r="A5" s="18" t="s">
        <v>764</v>
      </c>
      <c r="B5" s="18" t="s">
        <v>765</v>
      </c>
      <c r="C5" s="18" t="s">
        <v>768</v>
      </c>
      <c r="D5" s="18" t="n">
        <v>20</v>
      </c>
      <c r="E5" s="18" t="n">
        <v>30</v>
      </c>
      <c r="F5" s="18" t="s">
        <v>769</v>
      </c>
      <c r="G5" s="18" t="n">
        <v>30</v>
      </c>
      <c r="H5" s="18" t="n">
        <v>50</v>
      </c>
    </row>
    <row r="6" customFormat="false" ht="15" hidden="false" customHeight="false" outlineLevel="0" collapsed="false">
      <c r="A6" s="18" t="s">
        <v>764</v>
      </c>
      <c r="B6" s="18" t="s">
        <v>765</v>
      </c>
      <c r="C6" s="18" t="s">
        <v>770</v>
      </c>
      <c r="D6" s="18" t="n">
        <v>25</v>
      </c>
      <c r="E6" s="18" t="n">
        <v>35</v>
      </c>
      <c r="F6" s="18" t="s">
        <v>767</v>
      </c>
      <c r="G6" s="18" t="n">
        <v>40</v>
      </c>
      <c r="H6" s="18" t="n">
        <v>60</v>
      </c>
    </row>
    <row r="7" customFormat="false" ht="15" hidden="false" customHeight="false" outlineLevel="0" collapsed="false">
      <c r="A7" s="18" t="s">
        <v>764</v>
      </c>
      <c r="B7" s="18" t="s">
        <v>765</v>
      </c>
      <c r="C7" s="18" t="s">
        <v>771</v>
      </c>
      <c r="D7" s="18" t="n">
        <v>25</v>
      </c>
      <c r="E7" s="18" t="n">
        <v>35</v>
      </c>
      <c r="F7" s="18" t="s">
        <v>767</v>
      </c>
      <c r="G7" s="18" t="n">
        <v>40</v>
      </c>
      <c r="H7" s="18" t="n">
        <v>65</v>
      </c>
    </row>
    <row r="8" customFormat="false" ht="15" hidden="false" customHeight="false" outlineLevel="0" collapsed="false">
      <c r="A8" s="18" t="s">
        <v>764</v>
      </c>
      <c r="B8" s="18" t="s">
        <v>765</v>
      </c>
      <c r="C8" s="18" t="s">
        <v>772</v>
      </c>
      <c r="D8" s="18" t="n">
        <v>25</v>
      </c>
      <c r="E8" s="18" t="n">
        <v>35</v>
      </c>
      <c r="F8" s="18" t="s">
        <v>767</v>
      </c>
      <c r="G8" s="18" t="n">
        <v>45</v>
      </c>
      <c r="H8" s="18" t="n">
        <v>70</v>
      </c>
    </row>
    <row r="9" customFormat="false" ht="15" hidden="false" customHeight="false" outlineLevel="0" collapsed="false">
      <c r="A9" s="18" t="s">
        <v>764</v>
      </c>
      <c r="B9" s="18" t="s">
        <v>765</v>
      </c>
      <c r="C9" s="18" t="s">
        <v>773</v>
      </c>
      <c r="D9" s="18" t="n">
        <v>25</v>
      </c>
      <c r="E9" s="18" t="n">
        <v>35</v>
      </c>
      <c r="F9" s="18" t="s">
        <v>767</v>
      </c>
      <c r="G9" s="18" t="n">
        <v>50</v>
      </c>
      <c r="H9" s="18" t="n">
        <v>75</v>
      </c>
    </row>
    <row r="10" customFormat="false" ht="15" hidden="false" customHeight="false" outlineLevel="0" collapsed="false">
      <c r="A10" s="18" t="s">
        <v>764</v>
      </c>
      <c r="B10" s="18" t="s">
        <v>765</v>
      </c>
      <c r="C10" s="18" t="s">
        <v>774</v>
      </c>
      <c r="D10" s="18" t="n">
        <v>20</v>
      </c>
      <c r="E10" s="18" t="n">
        <v>30</v>
      </c>
      <c r="F10" s="18" t="s">
        <v>767</v>
      </c>
      <c r="G10" s="18" t="n">
        <v>55</v>
      </c>
      <c r="H10" s="18" t="n">
        <v>85</v>
      </c>
    </row>
    <row r="11" customFormat="false" ht="15" hidden="false" customHeight="false" outlineLevel="0" collapsed="false">
      <c r="A11" s="18" t="s">
        <v>764</v>
      </c>
      <c r="B11" s="18" t="s">
        <v>765</v>
      </c>
      <c r="C11" s="18" t="s">
        <v>774</v>
      </c>
      <c r="D11" s="18" t="n">
        <v>20</v>
      </c>
      <c r="E11" s="18" t="n">
        <v>30</v>
      </c>
      <c r="F11" s="18" t="s">
        <v>775</v>
      </c>
      <c r="G11" s="18" t="n">
        <v>60</v>
      </c>
      <c r="H11" s="18" t="n">
        <v>90</v>
      </c>
    </row>
    <row r="12" customFormat="false" ht="15" hidden="false" customHeight="false" outlineLevel="0" collapsed="false">
      <c r="A12" s="18" t="s">
        <v>776</v>
      </c>
      <c r="B12" s="18" t="s">
        <v>777</v>
      </c>
      <c r="C12" s="18" t="s">
        <v>778</v>
      </c>
      <c r="D12" s="18" t="n">
        <v>20</v>
      </c>
      <c r="E12" s="18" t="n">
        <v>30</v>
      </c>
      <c r="F12" s="18" t="s">
        <v>779</v>
      </c>
      <c r="G12" s="18" t="n">
        <v>30</v>
      </c>
      <c r="H12" s="18" t="n">
        <v>50</v>
      </c>
    </row>
    <row r="13" customFormat="false" ht="15" hidden="false" customHeight="false" outlineLevel="0" collapsed="false">
      <c r="A13" s="18" t="s">
        <v>776</v>
      </c>
      <c r="B13" s="18" t="s">
        <v>777</v>
      </c>
      <c r="C13" s="18" t="s">
        <v>780</v>
      </c>
      <c r="D13" s="18" t="n">
        <v>25</v>
      </c>
      <c r="E13" s="18" t="n">
        <v>35</v>
      </c>
      <c r="F13" s="18" t="s">
        <v>779</v>
      </c>
      <c r="G13" s="18" t="n">
        <v>40</v>
      </c>
      <c r="H13" s="18" t="n">
        <v>70</v>
      </c>
    </row>
    <row r="14" customFormat="false" ht="15" hidden="false" customHeight="false" outlineLevel="0" collapsed="false">
      <c r="A14" s="18" t="s">
        <v>776</v>
      </c>
      <c r="B14" s="18" t="s">
        <v>777</v>
      </c>
      <c r="C14" s="18" t="s">
        <v>772</v>
      </c>
      <c r="D14" s="18" t="n">
        <v>25</v>
      </c>
      <c r="E14" s="18" t="n">
        <v>35</v>
      </c>
      <c r="F14" s="18" t="s">
        <v>767</v>
      </c>
      <c r="G14" s="18" t="n">
        <v>45</v>
      </c>
      <c r="H14" s="18" t="n">
        <v>75</v>
      </c>
    </row>
    <row r="15" customFormat="false" ht="15" hidden="false" customHeight="false" outlineLevel="0" collapsed="false">
      <c r="A15" s="18" t="s">
        <v>776</v>
      </c>
      <c r="B15" s="18" t="s">
        <v>777</v>
      </c>
      <c r="C15" s="18" t="s">
        <v>781</v>
      </c>
      <c r="D15" s="18" t="n">
        <v>20</v>
      </c>
      <c r="E15" s="18" t="n">
        <v>30</v>
      </c>
      <c r="F15" s="18" t="s">
        <v>782</v>
      </c>
      <c r="G15" s="18" t="n">
        <v>45</v>
      </c>
      <c r="H15" s="18" t="n">
        <v>75</v>
      </c>
    </row>
    <row r="16" customFormat="false" ht="15" hidden="false" customHeight="false" outlineLevel="0" collapsed="false">
      <c r="A16" s="18" t="s">
        <v>776</v>
      </c>
      <c r="B16" s="18" t="s">
        <v>777</v>
      </c>
      <c r="C16" s="18" t="s">
        <v>783</v>
      </c>
      <c r="D16" s="18" t="n">
        <v>25</v>
      </c>
      <c r="E16" s="18" t="n">
        <v>35</v>
      </c>
      <c r="F16" s="18" t="s">
        <v>767</v>
      </c>
      <c r="G16" s="18" t="n">
        <v>50</v>
      </c>
      <c r="H16" s="18" t="n">
        <v>80</v>
      </c>
    </row>
    <row r="17" customFormat="false" ht="15" hidden="false" customHeight="false" outlineLevel="0" collapsed="false">
      <c r="A17" s="18" t="s">
        <v>776</v>
      </c>
      <c r="B17" s="18" t="s">
        <v>777</v>
      </c>
      <c r="C17" s="18" t="s">
        <v>774</v>
      </c>
      <c r="D17" s="18" t="n">
        <v>25</v>
      </c>
      <c r="E17" s="18" t="n">
        <v>35</v>
      </c>
      <c r="F17" s="18" t="s">
        <v>779</v>
      </c>
      <c r="G17" s="18" t="n">
        <v>50</v>
      </c>
      <c r="H17" s="18" t="n">
        <v>80</v>
      </c>
    </row>
    <row r="18" customFormat="false" ht="15" hidden="false" customHeight="false" outlineLevel="0" collapsed="false">
      <c r="A18" s="18" t="s">
        <v>776</v>
      </c>
      <c r="B18" s="18" t="s">
        <v>777</v>
      </c>
      <c r="C18" s="18" t="s">
        <v>774</v>
      </c>
      <c r="D18" s="18" t="n">
        <v>20</v>
      </c>
      <c r="E18" s="18" t="n">
        <v>30</v>
      </c>
      <c r="F18" s="18" t="s">
        <v>775</v>
      </c>
      <c r="G18" s="18" t="n">
        <v>55</v>
      </c>
      <c r="H18" s="18" t="n">
        <v>85</v>
      </c>
    </row>
    <row r="19" customFormat="false" ht="15" hidden="false" customHeight="false" outlineLevel="0" collapsed="false">
      <c r="A19" s="18" t="s">
        <v>776</v>
      </c>
      <c r="B19" s="18" t="s">
        <v>777</v>
      </c>
      <c r="C19" s="18" t="s">
        <v>774</v>
      </c>
      <c r="D19" s="18" t="n">
        <v>20</v>
      </c>
      <c r="E19" s="18" t="n">
        <v>30</v>
      </c>
      <c r="F19" s="18" t="s">
        <v>784</v>
      </c>
      <c r="G19" s="18" t="n">
        <v>70</v>
      </c>
      <c r="H19" s="18" t="n">
        <v>100</v>
      </c>
    </row>
    <row r="20" customFormat="false" ht="15" hidden="false" customHeight="false" outlineLevel="0" collapsed="false">
      <c r="A20" s="18" t="s">
        <v>776</v>
      </c>
      <c r="B20" s="18" t="s">
        <v>777</v>
      </c>
      <c r="C20" s="18" t="s">
        <v>785</v>
      </c>
      <c r="D20" s="18" t="n">
        <v>18</v>
      </c>
      <c r="E20" s="18" t="n">
        <v>25</v>
      </c>
      <c r="F20" s="18" t="s">
        <v>786</v>
      </c>
      <c r="G20" s="18" t="n">
        <v>50</v>
      </c>
      <c r="H20" s="18" t="n">
        <v>80</v>
      </c>
    </row>
    <row r="21" customFormat="false" ht="15" hidden="false" customHeight="false" outlineLevel="0" collapsed="false">
      <c r="A21" s="18" t="s">
        <v>776</v>
      </c>
      <c r="B21" s="18" t="s">
        <v>777</v>
      </c>
      <c r="C21" s="18" t="s">
        <v>787</v>
      </c>
      <c r="D21" s="18" t="n">
        <v>20</v>
      </c>
      <c r="E21" s="18" t="n">
        <v>30</v>
      </c>
      <c r="F21" s="18" t="s">
        <v>767</v>
      </c>
      <c r="G21" s="18" t="n">
        <v>80</v>
      </c>
      <c r="H21" s="18" t="n">
        <v>110</v>
      </c>
    </row>
    <row r="22" customFormat="false" ht="15" hidden="false" customHeight="false" outlineLevel="0" collapsed="false">
      <c r="A22" s="18" t="s">
        <v>776</v>
      </c>
      <c r="B22" s="18" t="s">
        <v>777</v>
      </c>
      <c r="C22" s="18" t="s">
        <v>788</v>
      </c>
      <c r="D22" s="18" t="n">
        <v>20</v>
      </c>
      <c r="E22" s="18" t="n">
        <v>30</v>
      </c>
      <c r="F22" s="18" t="s">
        <v>775</v>
      </c>
      <c r="G22" s="18" t="n">
        <v>80</v>
      </c>
      <c r="H22" s="18" t="n">
        <v>110</v>
      </c>
    </row>
    <row r="23" customFormat="false" ht="15" hidden="false" customHeight="false" outlineLevel="0" collapsed="false">
      <c r="A23" s="18" t="s">
        <v>776</v>
      </c>
      <c r="B23" s="18" t="s">
        <v>777</v>
      </c>
      <c r="C23" s="18" t="s">
        <v>789</v>
      </c>
      <c r="D23" s="18" t="n">
        <v>20</v>
      </c>
      <c r="E23" s="18" t="n">
        <v>30</v>
      </c>
      <c r="F23" s="18" t="s">
        <v>767</v>
      </c>
      <c r="G23" s="18" t="n">
        <v>80</v>
      </c>
      <c r="H23" s="18" t="n">
        <v>110</v>
      </c>
    </row>
    <row r="24" customFormat="false" ht="15" hidden="false" customHeight="false" outlineLevel="0" collapsed="false">
      <c r="A24" s="18" t="s">
        <v>776</v>
      </c>
      <c r="B24" s="18" t="s">
        <v>777</v>
      </c>
      <c r="C24" s="18" t="s">
        <v>790</v>
      </c>
      <c r="D24" s="18" t="n">
        <v>20</v>
      </c>
      <c r="E24" s="18" t="n">
        <v>30</v>
      </c>
      <c r="F24" s="18" t="s">
        <v>767</v>
      </c>
      <c r="G24" s="18" t="n">
        <v>80</v>
      </c>
      <c r="H24" s="18" t="n">
        <v>115</v>
      </c>
    </row>
    <row r="25" customFormat="false" ht="15" hidden="false" customHeight="false" outlineLevel="0" collapsed="false">
      <c r="A25" s="18" t="s">
        <v>776</v>
      </c>
      <c r="B25" s="18" t="s">
        <v>777</v>
      </c>
      <c r="C25" s="18" t="s">
        <v>791</v>
      </c>
      <c r="D25" s="18" t="n">
        <v>20</v>
      </c>
      <c r="E25" s="18" t="n">
        <v>30</v>
      </c>
      <c r="F25" s="18" t="s">
        <v>767</v>
      </c>
      <c r="G25" s="18" t="n">
        <v>80</v>
      </c>
      <c r="H25" s="18" t="n">
        <v>115</v>
      </c>
    </row>
    <row r="26" customFormat="false" ht="15" hidden="false" customHeight="false" outlineLevel="0" collapsed="false">
      <c r="A26" s="18" t="s">
        <v>776</v>
      </c>
      <c r="B26" s="18" t="s">
        <v>777</v>
      </c>
      <c r="C26" s="18" t="s">
        <v>791</v>
      </c>
      <c r="D26" s="18" t="n">
        <v>20</v>
      </c>
      <c r="E26" s="18" t="n">
        <v>30</v>
      </c>
      <c r="F26" s="18" t="s">
        <v>775</v>
      </c>
      <c r="G26" s="18" t="n">
        <v>85</v>
      </c>
      <c r="H26" s="18" t="n">
        <v>120</v>
      </c>
    </row>
    <row r="27" customFormat="false" ht="15" hidden="false" customHeight="false" outlineLevel="0" collapsed="false">
      <c r="A27" s="18" t="s">
        <v>776</v>
      </c>
      <c r="B27" s="18" t="s">
        <v>777</v>
      </c>
      <c r="C27" s="18" t="s">
        <v>791</v>
      </c>
      <c r="D27" s="18" t="n">
        <v>18</v>
      </c>
      <c r="E27" s="18" t="n">
        <v>25</v>
      </c>
      <c r="F27" s="18" t="s">
        <v>792</v>
      </c>
      <c r="G27" s="18" t="n">
        <v>60</v>
      </c>
      <c r="H27" s="18" t="n">
        <v>100</v>
      </c>
    </row>
    <row r="28" customFormat="false" ht="15" hidden="false" customHeight="false" outlineLevel="0" collapsed="false">
      <c r="A28" s="18" t="s">
        <v>776</v>
      </c>
      <c r="B28" s="18" t="s">
        <v>777</v>
      </c>
      <c r="C28" s="18" t="s">
        <v>793</v>
      </c>
      <c r="D28" s="18" t="n">
        <v>20</v>
      </c>
      <c r="E28" s="18" t="n">
        <v>25</v>
      </c>
      <c r="F28" s="18" t="s">
        <v>767</v>
      </c>
      <c r="G28" s="18" t="n">
        <v>85</v>
      </c>
      <c r="H28" s="18" t="n">
        <v>120</v>
      </c>
    </row>
    <row r="29" customFormat="false" ht="15" hidden="false" customHeight="false" outlineLevel="0" collapsed="false">
      <c r="A29" s="18" t="s">
        <v>794</v>
      </c>
      <c r="B29" s="18" t="s">
        <v>795</v>
      </c>
      <c r="C29" s="18" t="s">
        <v>770</v>
      </c>
      <c r="D29" s="18" t="n">
        <v>20</v>
      </c>
      <c r="E29" s="18" t="n">
        <v>30</v>
      </c>
      <c r="F29" s="18" t="s">
        <v>796</v>
      </c>
      <c r="G29" s="18" t="n">
        <v>45</v>
      </c>
      <c r="H29" s="18" t="n">
        <v>65</v>
      </c>
    </row>
    <row r="30" customFormat="false" ht="15" hidden="false" customHeight="false" outlineLevel="0" collapsed="false">
      <c r="A30" s="18" t="s">
        <v>794</v>
      </c>
      <c r="B30" s="18" t="s">
        <v>795</v>
      </c>
      <c r="C30" s="18" t="s">
        <v>773</v>
      </c>
      <c r="D30" s="18" t="n">
        <v>25</v>
      </c>
      <c r="E30" s="18" t="n">
        <v>35</v>
      </c>
      <c r="F30" s="18" t="s">
        <v>796</v>
      </c>
      <c r="G30" s="18" t="n">
        <v>55</v>
      </c>
      <c r="H30" s="18" t="n">
        <v>80</v>
      </c>
    </row>
    <row r="31" customFormat="false" ht="15" hidden="false" customHeight="false" outlineLevel="0" collapsed="false">
      <c r="A31" s="18" t="s">
        <v>797</v>
      </c>
      <c r="B31" s="18" t="s">
        <v>798</v>
      </c>
      <c r="C31" s="18" t="s">
        <v>771</v>
      </c>
      <c r="D31" s="18" t="n">
        <v>25</v>
      </c>
      <c r="E31" s="18" t="n">
        <v>35</v>
      </c>
      <c r="F31" s="18" t="s">
        <v>767</v>
      </c>
      <c r="G31" s="18" t="n">
        <v>50</v>
      </c>
      <c r="H31" s="18" t="n">
        <v>75</v>
      </c>
    </row>
    <row r="32" customFormat="false" ht="15" hidden="false" customHeight="false" outlineLevel="0" collapsed="false">
      <c r="A32" s="18" t="s">
        <v>797</v>
      </c>
      <c r="B32" s="18" t="s">
        <v>798</v>
      </c>
      <c r="C32" s="18" t="s">
        <v>772</v>
      </c>
      <c r="D32" s="18" t="n">
        <v>25</v>
      </c>
      <c r="E32" s="18" t="n">
        <v>35</v>
      </c>
      <c r="F32" s="18" t="s">
        <v>779</v>
      </c>
      <c r="G32" s="18" t="n">
        <v>50</v>
      </c>
      <c r="H32" s="18" t="n">
        <v>75</v>
      </c>
    </row>
    <row r="33" customFormat="false" ht="15" hidden="false" customHeight="false" outlineLevel="0" collapsed="false">
      <c r="A33" s="18" t="s">
        <v>797</v>
      </c>
      <c r="B33" s="18" t="s">
        <v>798</v>
      </c>
      <c r="C33" s="18" t="s">
        <v>783</v>
      </c>
      <c r="D33" s="18" t="n">
        <v>25</v>
      </c>
      <c r="E33" s="18" t="n">
        <v>35</v>
      </c>
      <c r="F33" s="18" t="s">
        <v>767</v>
      </c>
      <c r="G33" s="18" t="n">
        <v>55</v>
      </c>
      <c r="H33" s="18" t="n">
        <v>80</v>
      </c>
    </row>
    <row r="34" customFormat="false" ht="15" hidden="false" customHeight="false" outlineLevel="0" collapsed="false">
      <c r="A34" s="18" t="s">
        <v>797</v>
      </c>
      <c r="B34" s="18" t="s">
        <v>798</v>
      </c>
      <c r="C34" s="18" t="s">
        <v>774</v>
      </c>
      <c r="D34" s="18" t="n">
        <v>25</v>
      </c>
      <c r="E34" s="18" t="n">
        <v>35</v>
      </c>
      <c r="F34" s="18" t="s">
        <v>767</v>
      </c>
      <c r="G34" s="18" t="n">
        <v>75</v>
      </c>
      <c r="H34" s="18" t="n">
        <v>110</v>
      </c>
    </row>
    <row r="35" customFormat="false" ht="15" hidden="false" customHeight="false" outlineLevel="0" collapsed="false">
      <c r="A35" s="18" t="s">
        <v>797</v>
      </c>
      <c r="B35" s="18" t="s">
        <v>798</v>
      </c>
      <c r="C35" s="18" t="s">
        <v>774</v>
      </c>
      <c r="D35" s="18" t="n">
        <v>25</v>
      </c>
      <c r="E35" s="18" t="n">
        <v>35</v>
      </c>
      <c r="F35" s="18" t="s">
        <v>775</v>
      </c>
      <c r="G35" s="18" t="n">
        <v>80</v>
      </c>
      <c r="H35" s="18" t="n">
        <v>110</v>
      </c>
    </row>
    <row r="36" customFormat="false" ht="15" hidden="false" customHeight="false" outlineLevel="0" collapsed="false">
      <c r="A36" s="18" t="s">
        <v>797</v>
      </c>
      <c r="B36" s="18" t="s">
        <v>798</v>
      </c>
      <c r="C36" s="18" t="s">
        <v>788</v>
      </c>
      <c r="D36" s="18" t="n">
        <v>25</v>
      </c>
      <c r="E36" s="18" t="n">
        <v>35</v>
      </c>
      <c r="F36" s="18" t="s">
        <v>767</v>
      </c>
      <c r="G36" s="18" t="n">
        <v>85</v>
      </c>
      <c r="H36" s="18" t="n">
        <v>110</v>
      </c>
    </row>
    <row r="37" customFormat="false" ht="15" hidden="false" customHeight="false" outlineLevel="0" collapsed="false">
      <c r="A37" s="18" t="s">
        <v>797</v>
      </c>
      <c r="B37" s="18" t="s">
        <v>798</v>
      </c>
      <c r="C37" s="18" t="s">
        <v>788</v>
      </c>
      <c r="D37" s="18" t="n">
        <v>25</v>
      </c>
      <c r="E37" s="18" t="n">
        <v>35</v>
      </c>
      <c r="F37" s="18" t="s">
        <v>779</v>
      </c>
      <c r="G37" s="18" t="n">
        <v>85</v>
      </c>
      <c r="H37" s="18" t="n">
        <v>110</v>
      </c>
    </row>
    <row r="38" customFormat="false" ht="15" hidden="false" customHeight="false" outlineLevel="0" collapsed="false">
      <c r="A38" s="18" t="s">
        <v>797</v>
      </c>
      <c r="B38" s="18" t="s">
        <v>798</v>
      </c>
      <c r="C38" s="18" t="s">
        <v>790</v>
      </c>
      <c r="D38" s="18" t="n">
        <v>25</v>
      </c>
      <c r="E38" s="18" t="n">
        <v>30</v>
      </c>
      <c r="F38" s="18" t="s">
        <v>779</v>
      </c>
      <c r="G38" s="18" t="n">
        <v>90</v>
      </c>
      <c r="H38" s="18" t="n">
        <v>110</v>
      </c>
    </row>
    <row r="39" customFormat="false" ht="15" hidden="false" customHeight="false" outlineLevel="0" collapsed="false">
      <c r="A39" s="18" t="s">
        <v>797</v>
      </c>
      <c r="B39" s="18" t="s">
        <v>798</v>
      </c>
      <c r="C39" s="18" t="s">
        <v>791</v>
      </c>
      <c r="D39" s="18" t="n">
        <v>25</v>
      </c>
      <c r="E39" s="18" t="n">
        <v>30</v>
      </c>
      <c r="F39" s="18" t="s">
        <v>767</v>
      </c>
      <c r="G39" s="18" t="n">
        <v>90</v>
      </c>
      <c r="H39" s="18" t="n">
        <v>115</v>
      </c>
    </row>
    <row r="40" customFormat="false" ht="15" hidden="false" customHeight="false" outlineLevel="0" collapsed="false">
      <c r="A40" s="18" t="s">
        <v>797</v>
      </c>
      <c r="B40" s="18" t="s">
        <v>798</v>
      </c>
      <c r="C40" s="18" t="s">
        <v>791</v>
      </c>
      <c r="D40" s="18" t="n">
        <v>25</v>
      </c>
      <c r="E40" s="18" t="n">
        <v>30</v>
      </c>
      <c r="F40" s="18" t="s">
        <v>775</v>
      </c>
      <c r="G40" s="18" t="n">
        <v>90</v>
      </c>
      <c r="H40" s="18" t="n">
        <v>115</v>
      </c>
    </row>
    <row r="41" customFormat="false" ht="15" hidden="false" customHeight="false" outlineLevel="0" collapsed="false">
      <c r="A41" s="18" t="s">
        <v>797</v>
      </c>
      <c r="B41" s="18" t="s">
        <v>798</v>
      </c>
      <c r="C41" s="18" t="s">
        <v>799</v>
      </c>
      <c r="D41" s="18" t="n">
        <v>25</v>
      </c>
      <c r="E41" s="18" t="n">
        <v>30</v>
      </c>
      <c r="F41" s="18" t="s">
        <v>767</v>
      </c>
      <c r="G41" s="18" t="n">
        <v>95</v>
      </c>
      <c r="H41" s="18" t="n">
        <v>120</v>
      </c>
    </row>
    <row r="42" customFormat="false" ht="15" hidden="false" customHeight="false" outlineLevel="0" collapsed="false">
      <c r="A42" s="18" t="s">
        <v>797</v>
      </c>
      <c r="B42" s="18" t="s">
        <v>798</v>
      </c>
      <c r="C42" s="18" t="s">
        <v>800</v>
      </c>
      <c r="D42" s="18" t="n">
        <v>20</v>
      </c>
      <c r="E42" s="18" t="n">
        <v>25</v>
      </c>
      <c r="F42" s="18" t="s">
        <v>767</v>
      </c>
      <c r="G42" s="18" t="n">
        <v>95</v>
      </c>
      <c r="H42" s="18" t="n">
        <v>125</v>
      </c>
    </row>
    <row r="43" customFormat="false" ht="15" hidden="false" customHeight="false" outlineLevel="0" collapsed="false">
      <c r="A43" s="18" t="s">
        <v>797</v>
      </c>
      <c r="B43" s="18" t="s">
        <v>798</v>
      </c>
      <c r="C43" s="18" t="s">
        <v>800</v>
      </c>
      <c r="D43" s="18" t="n">
        <v>20</v>
      </c>
      <c r="E43" s="18" t="n">
        <v>25</v>
      </c>
      <c r="F43" s="18" t="s">
        <v>775</v>
      </c>
      <c r="G43" s="18" t="n">
        <v>95</v>
      </c>
      <c r="H43" s="18" t="n">
        <v>125</v>
      </c>
    </row>
    <row r="44" customFormat="false" ht="15" hidden="false" customHeight="false" outlineLevel="0" collapsed="false">
      <c r="A44" s="18" t="s">
        <v>797</v>
      </c>
      <c r="B44" s="18" t="s">
        <v>798</v>
      </c>
      <c r="C44" s="18" t="s">
        <v>800</v>
      </c>
      <c r="D44" s="18" t="n">
        <v>15</v>
      </c>
      <c r="E44" s="18" t="n">
        <v>25</v>
      </c>
      <c r="F44" s="18" t="s">
        <v>784</v>
      </c>
      <c r="G44" s="18" t="n">
        <v>90</v>
      </c>
      <c r="H44" s="18" t="n">
        <v>125</v>
      </c>
    </row>
    <row r="45" customFormat="false" ht="15" hidden="false" customHeight="false" outlineLevel="0" collapsed="false">
      <c r="A45" s="18" t="s">
        <v>797</v>
      </c>
      <c r="B45" s="18" t="s">
        <v>798</v>
      </c>
      <c r="C45" s="18" t="s">
        <v>801</v>
      </c>
      <c r="D45" s="18" t="n">
        <v>20</v>
      </c>
      <c r="E45" s="18" t="n">
        <v>25</v>
      </c>
      <c r="F45" s="18" t="s">
        <v>767</v>
      </c>
      <c r="G45" s="18" t="n">
        <v>100</v>
      </c>
      <c r="H45" s="18" t="n">
        <v>130</v>
      </c>
    </row>
    <row r="46" customFormat="false" ht="15" hidden="false" customHeight="false" outlineLevel="0" collapsed="false">
      <c r="A46" s="18" t="s">
        <v>797</v>
      </c>
      <c r="B46" s="18" t="s">
        <v>798</v>
      </c>
      <c r="C46" s="18" t="s">
        <v>801</v>
      </c>
      <c r="D46" s="18" t="n">
        <v>20</v>
      </c>
      <c r="E46" s="18" t="n">
        <v>25</v>
      </c>
      <c r="F46" s="18" t="s">
        <v>775</v>
      </c>
      <c r="G46" s="18" t="n">
        <v>100</v>
      </c>
      <c r="H46" s="18" t="n">
        <v>135</v>
      </c>
    </row>
    <row r="47" customFormat="false" ht="15" hidden="false" customHeight="false" outlineLevel="0" collapsed="false">
      <c r="A47" s="18" t="s">
        <v>797</v>
      </c>
      <c r="B47" s="18" t="s">
        <v>798</v>
      </c>
      <c r="C47" s="18" t="s">
        <v>802</v>
      </c>
      <c r="D47" s="18" t="n">
        <v>15</v>
      </c>
      <c r="E47" s="18" t="n">
        <v>25</v>
      </c>
      <c r="F47" s="18" t="s">
        <v>767</v>
      </c>
      <c r="G47" s="18" t="n">
        <v>100</v>
      </c>
      <c r="H47" s="18" t="n">
        <v>135</v>
      </c>
    </row>
    <row r="48" customFormat="false" ht="15" hidden="false" customHeight="false" outlineLevel="0" collapsed="false">
      <c r="A48" s="18" t="s">
        <v>797</v>
      </c>
      <c r="B48" s="18" t="s">
        <v>798</v>
      </c>
      <c r="C48" s="18" t="s">
        <v>803</v>
      </c>
      <c r="D48" s="18" t="n">
        <v>15</v>
      </c>
      <c r="E48" s="18" t="n">
        <v>25</v>
      </c>
      <c r="F48" s="18" t="s">
        <v>804</v>
      </c>
      <c r="G48" s="18" t="n">
        <v>100</v>
      </c>
      <c r="H48" s="18" t="n">
        <v>135</v>
      </c>
    </row>
    <row r="49" customFormat="false" ht="15" hidden="false" customHeight="false" outlineLevel="0" collapsed="false">
      <c r="A49" s="18" t="s">
        <v>797</v>
      </c>
      <c r="B49" s="18" t="s">
        <v>798</v>
      </c>
      <c r="C49" s="18" t="s">
        <v>803</v>
      </c>
      <c r="D49" s="18" t="n">
        <v>15</v>
      </c>
      <c r="E49" s="18" t="n">
        <v>25</v>
      </c>
      <c r="F49" s="18" t="s">
        <v>805</v>
      </c>
      <c r="G49" s="18" t="n">
        <v>110</v>
      </c>
      <c r="H49" s="18" t="n">
        <v>140</v>
      </c>
    </row>
    <row r="50" customFormat="false" ht="15" hidden="false" customHeight="false" outlineLevel="0" collapsed="false">
      <c r="A50" s="18" t="s">
        <v>797</v>
      </c>
      <c r="B50" s="18" t="s">
        <v>798</v>
      </c>
      <c r="C50" s="18" t="s">
        <v>806</v>
      </c>
      <c r="D50" s="18" t="n">
        <v>15</v>
      </c>
      <c r="E50" s="18" t="n">
        <v>25</v>
      </c>
      <c r="F50" s="18" t="s">
        <v>767</v>
      </c>
      <c r="G50" s="18" t="n">
        <v>110</v>
      </c>
      <c r="H50" s="18" t="n">
        <v>140</v>
      </c>
    </row>
    <row r="51" customFormat="false" ht="15" hidden="false" customHeight="false" outlineLevel="0" collapsed="false">
      <c r="A51" s="18" t="s">
        <v>807</v>
      </c>
      <c r="B51" s="18" t="s">
        <v>808</v>
      </c>
      <c r="C51" s="18" t="s">
        <v>772</v>
      </c>
      <c r="D51" s="18" t="n">
        <v>20</v>
      </c>
      <c r="E51" s="18" t="n">
        <v>40</v>
      </c>
      <c r="F51" s="18" t="s">
        <v>767</v>
      </c>
      <c r="G51" s="18" t="n">
        <v>25</v>
      </c>
      <c r="H51" s="18" t="n">
        <v>60</v>
      </c>
    </row>
    <row r="52" customFormat="false" ht="15" hidden="false" customHeight="false" outlineLevel="0" collapsed="false">
      <c r="A52" s="18" t="s">
        <v>807</v>
      </c>
      <c r="B52" s="18" t="s">
        <v>808</v>
      </c>
      <c r="C52" s="18" t="s">
        <v>772</v>
      </c>
      <c r="D52" s="18" t="n">
        <v>18</v>
      </c>
      <c r="E52" s="18" t="n">
        <v>35</v>
      </c>
      <c r="F52" s="18" t="s">
        <v>784</v>
      </c>
      <c r="G52" s="18" t="n">
        <v>30</v>
      </c>
      <c r="H52" s="18" t="n">
        <v>70</v>
      </c>
    </row>
    <row r="53" customFormat="false" ht="15" hidden="false" customHeight="false" outlineLevel="0" collapsed="false">
      <c r="A53" s="18" t="s">
        <v>807</v>
      </c>
      <c r="B53" s="18" t="s">
        <v>808</v>
      </c>
      <c r="C53" s="18" t="s">
        <v>773</v>
      </c>
      <c r="D53" s="18" t="n">
        <v>18</v>
      </c>
      <c r="E53" s="18" t="n">
        <v>35</v>
      </c>
      <c r="F53" s="18" t="s">
        <v>784</v>
      </c>
      <c r="G53" s="18" t="n">
        <v>35</v>
      </c>
      <c r="H53" s="18" t="n">
        <v>75</v>
      </c>
    </row>
    <row r="54" customFormat="false" ht="15" hidden="false" customHeight="false" outlineLevel="0" collapsed="false">
      <c r="A54" s="18" t="s">
        <v>807</v>
      </c>
      <c r="B54" s="18" t="s">
        <v>808</v>
      </c>
      <c r="C54" s="18" t="s">
        <v>809</v>
      </c>
      <c r="D54" s="18" t="n">
        <v>18</v>
      </c>
      <c r="E54" s="18" t="n">
        <v>35</v>
      </c>
      <c r="F54" s="18" t="s">
        <v>810</v>
      </c>
      <c r="G54" s="18" t="n">
        <v>35</v>
      </c>
      <c r="H54" s="18" t="n">
        <v>75</v>
      </c>
    </row>
    <row r="55" customFormat="false" ht="15" hidden="false" customHeight="false" outlineLevel="0" collapsed="false">
      <c r="A55" s="18" t="s">
        <v>807</v>
      </c>
      <c r="B55" s="18" t="s">
        <v>808</v>
      </c>
      <c r="C55" s="18" t="s">
        <v>811</v>
      </c>
      <c r="D55" s="18" t="n">
        <v>18</v>
      </c>
      <c r="E55" s="18" t="n">
        <v>30</v>
      </c>
      <c r="F55" s="18" t="s">
        <v>767</v>
      </c>
      <c r="G55" s="18" t="n">
        <v>50</v>
      </c>
      <c r="H55" s="18" t="n">
        <v>100</v>
      </c>
    </row>
    <row r="56" customFormat="false" ht="15" hidden="false" customHeight="false" outlineLevel="0" collapsed="false">
      <c r="A56" s="18" t="s">
        <v>807</v>
      </c>
      <c r="B56" s="18" t="s">
        <v>808</v>
      </c>
      <c r="C56" s="18" t="s">
        <v>791</v>
      </c>
      <c r="D56" s="18" t="n">
        <v>18</v>
      </c>
      <c r="E56" s="18" t="n">
        <v>30</v>
      </c>
      <c r="F56" s="18" t="s">
        <v>812</v>
      </c>
      <c r="G56" s="18" t="n">
        <v>45</v>
      </c>
      <c r="H56" s="18" t="n">
        <v>75</v>
      </c>
    </row>
    <row r="57" customFormat="false" ht="15" hidden="false" customHeight="false" outlineLevel="0" collapsed="false">
      <c r="A57" s="18" t="s">
        <v>807</v>
      </c>
      <c r="B57" s="18" t="s">
        <v>808</v>
      </c>
      <c r="C57" s="18" t="s">
        <v>813</v>
      </c>
      <c r="D57" s="18" t="n">
        <v>18</v>
      </c>
      <c r="E57" s="18" t="n">
        <v>30</v>
      </c>
      <c r="F57" s="18" t="s">
        <v>814</v>
      </c>
      <c r="G57" s="18" t="n">
        <v>80</v>
      </c>
      <c r="H57" s="18" t="n">
        <v>145</v>
      </c>
    </row>
    <row r="58" customFormat="false" ht="15" hidden="false" customHeight="false" outlineLevel="0" collapsed="false">
      <c r="A58" s="18" t="s">
        <v>807</v>
      </c>
      <c r="B58" s="18" t="s">
        <v>808</v>
      </c>
      <c r="C58" s="18" t="s">
        <v>815</v>
      </c>
      <c r="D58" s="18" t="n">
        <v>15</v>
      </c>
      <c r="E58" s="18" t="n">
        <v>25</v>
      </c>
      <c r="F58" s="18" t="s">
        <v>804</v>
      </c>
      <c r="G58" s="18" t="n">
        <v>80</v>
      </c>
      <c r="H58" s="18" t="n">
        <v>135</v>
      </c>
    </row>
    <row r="59" customFormat="false" ht="15" hidden="false" customHeight="false" outlineLevel="0" collapsed="false">
      <c r="A59" s="18" t="s">
        <v>816</v>
      </c>
      <c r="B59" s="18" t="s">
        <v>817</v>
      </c>
      <c r="C59" s="18" t="s">
        <v>772</v>
      </c>
      <c r="D59" s="18" t="n">
        <v>18</v>
      </c>
      <c r="E59" s="18" t="n">
        <v>40</v>
      </c>
      <c r="F59" s="18" t="s">
        <v>810</v>
      </c>
      <c r="G59" s="18" t="n">
        <v>30</v>
      </c>
      <c r="H59" s="18" t="n">
        <v>80</v>
      </c>
    </row>
    <row r="60" customFormat="false" ht="15" hidden="false" customHeight="false" outlineLevel="0" collapsed="false">
      <c r="A60" s="18" t="s">
        <v>816</v>
      </c>
      <c r="B60" s="18" t="s">
        <v>817</v>
      </c>
      <c r="C60" s="18" t="s">
        <v>774</v>
      </c>
      <c r="D60" s="18" t="n">
        <v>18</v>
      </c>
      <c r="E60" s="18" t="n">
        <v>35</v>
      </c>
      <c r="F60" s="18" t="s">
        <v>810</v>
      </c>
      <c r="G60" s="18" t="n">
        <v>35</v>
      </c>
      <c r="H60" s="18" t="n">
        <v>75</v>
      </c>
    </row>
    <row r="61" customFormat="false" ht="15" hidden="false" customHeight="false" outlineLevel="0" collapsed="false">
      <c r="A61" s="18" t="s">
        <v>816</v>
      </c>
      <c r="B61" s="18" t="s">
        <v>817</v>
      </c>
      <c r="C61" s="18" t="s">
        <v>803</v>
      </c>
      <c r="D61" s="18" t="n">
        <v>15</v>
      </c>
      <c r="E61" s="18" t="n">
        <v>30</v>
      </c>
      <c r="F61" s="18" t="s">
        <v>810</v>
      </c>
      <c r="G61" s="18" t="n">
        <v>80</v>
      </c>
      <c r="H61" s="18" t="n">
        <v>130</v>
      </c>
    </row>
    <row r="62" customFormat="false" ht="15" hidden="false" customHeight="false" outlineLevel="0" collapsed="false">
      <c r="A62" s="18" t="s">
        <v>816</v>
      </c>
      <c r="B62" s="18" t="s">
        <v>817</v>
      </c>
      <c r="C62" s="18" t="s">
        <v>818</v>
      </c>
      <c r="D62" s="18" t="n">
        <v>12</v>
      </c>
      <c r="E62" s="18" t="n">
        <v>25</v>
      </c>
      <c r="F62" s="18" t="s">
        <v>810</v>
      </c>
      <c r="G62" s="18" t="n">
        <v>70</v>
      </c>
      <c r="H62" s="18" t="n">
        <v>140</v>
      </c>
    </row>
    <row r="63" customFormat="false" ht="15" hidden="false" customHeight="false" outlineLevel="0" collapsed="false">
      <c r="A63" s="18" t="s">
        <v>819</v>
      </c>
      <c r="B63" s="18" t="s">
        <v>820</v>
      </c>
      <c r="C63" s="18" t="s">
        <v>772</v>
      </c>
      <c r="D63" s="18" t="n">
        <v>15</v>
      </c>
      <c r="E63" s="18" t="n">
        <v>30</v>
      </c>
      <c r="F63" s="18" t="s">
        <v>821</v>
      </c>
      <c r="G63" s="18" t="n">
        <v>25</v>
      </c>
      <c r="H63" s="18" t="n">
        <v>52</v>
      </c>
    </row>
    <row r="64" customFormat="false" ht="15" hidden="false" customHeight="false" outlineLevel="0" collapsed="false">
      <c r="A64" s="18" t="s">
        <v>819</v>
      </c>
      <c r="B64" s="18" t="s">
        <v>820</v>
      </c>
      <c r="C64" s="18" t="s">
        <v>822</v>
      </c>
      <c r="D64" s="18" t="n">
        <v>20</v>
      </c>
      <c r="E64" s="18" t="n">
        <v>35</v>
      </c>
      <c r="F64" s="18" t="s">
        <v>823</v>
      </c>
      <c r="G64" s="18" t="n">
        <v>50</v>
      </c>
      <c r="H64" s="18" t="n">
        <v>90</v>
      </c>
    </row>
    <row r="65" customFormat="false" ht="15" hidden="false" customHeight="false" outlineLevel="0" collapsed="false">
      <c r="A65" s="18" t="s">
        <v>824</v>
      </c>
      <c r="B65" s="18" t="s">
        <v>825</v>
      </c>
      <c r="C65" s="18" t="s">
        <v>771</v>
      </c>
      <c r="D65" s="18" t="n">
        <v>15</v>
      </c>
      <c r="E65" s="18" t="n">
        <v>30</v>
      </c>
      <c r="F65" s="18" t="s">
        <v>767</v>
      </c>
      <c r="G65" s="18" t="n">
        <v>30</v>
      </c>
      <c r="H65" s="18" t="n">
        <v>60</v>
      </c>
    </row>
    <row r="66" customFormat="false" ht="15" hidden="false" customHeight="false" outlineLevel="0" collapsed="false">
      <c r="A66" s="18" t="s">
        <v>824</v>
      </c>
      <c r="B66" s="18" t="s">
        <v>825</v>
      </c>
      <c r="C66" s="18" t="s">
        <v>774</v>
      </c>
      <c r="D66" s="18" t="n">
        <v>20</v>
      </c>
      <c r="E66" s="18" t="n">
        <v>35</v>
      </c>
      <c r="F66" s="18" t="s">
        <v>767</v>
      </c>
      <c r="G66" s="18" t="n">
        <v>40</v>
      </c>
      <c r="H66" s="18" t="n">
        <v>80</v>
      </c>
    </row>
    <row r="67" customFormat="false" ht="15" hidden="false" customHeight="false" outlineLevel="0" collapsed="false">
      <c r="A67" s="18" t="s">
        <v>824</v>
      </c>
      <c r="B67" s="18" t="s">
        <v>825</v>
      </c>
      <c r="C67" s="18" t="s">
        <v>800</v>
      </c>
      <c r="D67" s="18" t="n">
        <v>20</v>
      </c>
      <c r="E67" s="18" t="n">
        <v>30</v>
      </c>
      <c r="F67" s="18" t="s">
        <v>784</v>
      </c>
      <c r="G67" s="18" t="n">
        <v>30</v>
      </c>
      <c r="H67" s="18" t="n">
        <v>60</v>
      </c>
    </row>
    <row r="68" customFormat="false" ht="15" hidden="false" customHeight="false" outlineLevel="0" collapsed="false">
      <c r="A68" s="18" t="s">
        <v>826</v>
      </c>
      <c r="B68" s="18" t="s">
        <v>827</v>
      </c>
      <c r="C68" s="18" t="s">
        <v>828</v>
      </c>
      <c r="D68" s="18" t="n">
        <v>10</v>
      </c>
      <c r="E68" s="18" t="n">
        <v>20</v>
      </c>
      <c r="F68" s="18" t="s">
        <v>767</v>
      </c>
      <c r="G68" s="18" t="n">
        <v>30</v>
      </c>
      <c r="H68" s="18" t="n">
        <v>75</v>
      </c>
    </row>
    <row r="69" customFormat="false" ht="15" hidden="false" customHeight="false" outlineLevel="0" collapsed="false">
      <c r="A69" s="18" t="s">
        <v>826</v>
      </c>
      <c r="B69" s="18" t="s">
        <v>827</v>
      </c>
      <c r="C69" s="18" t="s">
        <v>829</v>
      </c>
      <c r="D69" s="18" t="n">
        <v>10</v>
      </c>
      <c r="E69" s="18" t="n">
        <v>20</v>
      </c>
      <c r="F69" s="18" t="s">
        <v>767</v>
      </c>
      <c r="G69" s="18" t="n">
        <v>70</v>
      </c>
      <c r="H69" s="18" t="n">
        <v>110</v>
      </c>
    </row>
    <row r="70" customFormat="false" ht="15" hidden="false" customHeight="false" outlineLevel="0" collapsed="false">
      <c r="A70" s="18" t="s">
        <v>830</v>
      </c>
      <c r="B70" s="18" t="s">
        <v>831</v>
      </c>
      <c r="C70" s="18" t="s">
        <v>766</v>
      </c>
      <c r="D70" s="18" t="n">
        <v>15</v>
      </c>
      <c r="E70" s="18" t="n">
        <v>30</v>
      </c>
      <c r="F70" s="18" t="s">
        <v>767</v>
      </c>
      <c r="G70" s="18" t="n">
        <v>18</v>
      </c>
      <c r="H70" s="18" t="n">
        <v>50</v>
      </c>
    </row>
    <row r="71" customFormat="false" ht="15" hidden="false" customHeight="false" outlineLevel="0" collapsed="false">
      <c r="A71" s="18" t="s">
        <v>830</v>
      </c>
      <c r="B71" s="18" t="s">
        <v>831</v>
      </c>
      <c r="C71" s="18" t="s">
        <v>778</v>
      </c>
      <c r="D71" s="18" t="n">
        <v>15</v>
      </c>
      <c r="E71" s="18" t="n">
        <v>30</v>
      </c>
      <c r="F71" s="18" t="s">
        <v>767</v>
      </c>
      <c r="G71" s="18" t="n">
        <v>18</v>
      </c>
      <c r="H71" s="18" t="n">
        <v>50</v>
      </c>
    </row>
    <row r="72" customFormat="false" ht="15" hidden="false" customHeight="false" outlineLevel="0" collapsed="false">
      <c r="A72" s="18" t="s">
        <v>830</v>
      </c>
      <c r="B72" s="18" t="s">
        <v>831</v>
      </c>
      <c r="C72" s="18" t="s">
        <v>772</v>
      </c>
      <c r="D72" s="18" t="n">
        <v>15</v>
      </c>
      <c r="E72" s="18" t="n">
        <v>35</v>
      </c>
      <c r="F72" s="18" t="s">
        <v>767</v>
      </c>
      <c r="G72" s="18" t="n">
        <v>20</v>
      </c>
      <c r="H72" s="18" t="n">
        <v>60</v>
      </c>
    </row>
    <row r="73" customFormat="false" ht="15" hidden="false" customHeight="false" outlineLevel="0" collapsed="false">
      <c r="A73" s="18" t="s">
        <v>830</v>
      </c>
      <c r="B73" s="18" t="s">
        <v>831</v>
      </c>
      <c r="C73" s="18" t="s">
        <v>832</v>
      </c>
      <c r="D73" s="18" t="n">
        <v>15</v>
      </c>
      <c r="E73" s="18" t="n">
        <v>35</v>
      </c>
      <c r="F73" s="18" t="s">
        <v>767</v>
      </c>
      <c r="G73" s="18" t="n">
        <v>25</v>
      </c>
      <c r="H73" s="18" t="n">
        <v>65</v>
      </c>
    </row>
    <row r="74" customFormat="false" ht="15" hidden="false" customHeight="false" outlineLevel="0" collapsed="false">
      <c r="A74" s="18" t="s">
        <v>830</v>
      </c>
      <c r="B74" s="18" t="s">
        <v>831</v>
      </c>
      <c r="C74" s="18" t="s">
        <v>774</v>
      </c>
      <c r="D74" s="18" t="n">
        <v>15</v>
      </c>
      <c r="E74" s="18" t="n">
        <v>30</v>
      </c>
      <c r="F74" s="18" t="s">
        <v>833</v>
      </c>
      <c r="G74" s="18" t="n">
        <v>25</v>
      </c>
      <c r="H74" s="18" t="n">
        <v>65</v>
      </c>
    </row>
    <row r="75" customFormat="false" ht="15" hidden="false" customHeight="false" outlineLevel="0" collapsed="false">
      <c r="A75" s="18" t="s">
        <v>830</v>
      </c>
      <c r="B75" s="18" t="s">
        <v>831</v>
      </c>
      <c r="C75" s="18" t="s">
        <v>834</v>
      </c>
      <c r="D75" s="18" t="n">
        <v>15</v>
      </c>
      <c r="E75" s="18" t="n">
        <v>30</v>
      </c>
      <c r="F75" s="18" t="s">
        <v>810</v>
      </c>
      <c r="G75" s="18" t="n">
        <v>45</v>
      </c>
      <c r="H75" s="18" t="n">
        <v>80</v>
      </c>
    </row>
    <row r="76" customFormat="false" ht="15" hidden="false" customHeight="false" outlineLevel="0" collapsed="false">
      <c r="A76" s="18" t="s">
        <v>830</v>
      </c>
      <c r="B76" s="18" t="s">
        <v>831</v>
      </c>
      <c r="C76" s="18" t="s">
        <v>800</v>
      </c>
      <c r="D76" s="18" t="n">
        <v>15</v>
      </c>
      <c r="E76" s="18" t="n">
        <v>30</v>
      </c>
      <c r="F76" s="18" t="s">
        <v>833</v>
      </c>
      <c r="G76" s="18" t="n">
        <v>45</v>
      </c>
      <c r="H76" s="18" t="n">
        <v>100</v>
      </c>
    </row>
    <row r="77" customFormat="false" ht="15" hidden="false" customHeight="false" outlineLevel="0" collapsed="false">
      <c r="A77" s="18" t="s">
        <v>830</v>
      </c>
      <c r="B77" s="18" t="s">
        <v>831</v>
      </c>
      <c r="C77" s="18" t="s">
        <v>802</v>
      </c>
      <c r="D77" s="18" t="n">
        <v>15</v>
      </c>
      <c r="E77" s="18" t="n">
        <v>30</v>
      </c>
      <c r="F77" s="18" t="s">
        <v>767</v>
      </c>
      <c r="G77" s="18" t="n">
        <v>50</v>
      </c>
      <c r="H77" s="18" t="n">
        <v>110</v>
      </c>
    </row>
    <row r="78" customFormat="false" ht="15" hidden="false" customHeight="false" outlineLevel="0" collapsed="false">
      <c r="A78" s="18" t="s">
        <v>835</v>
      </c>
      <c r="B78" s="18" t="s">
        <v>836</v>
      </c>
      <c r="C78" s="18" t="s">
        <v>837</v>
      </c>
      <c r="D78" s="18" t="n">
        <v>15</v>
      </c>
      <c r="E78" s="18" t="n">
        <v>30</v>
      </c>
      <c r="F78" s="18" t="s">
        <v>767</v>
      </c>
      <c r="G78" s="18" t="n">
        <v>18</v>
      </c>
      <c r="H78" s="18" t="n">
        <v>50</v>
      </c>
    </row>
    <row r="79" customFormat="false" ht="15" hidden="false" customHeight="false" outlineLevel="0" collapsed="false">
      <c r="A79" s="18" t="s">
        <v>838</v>
      </c>
      <c r="B79" s="18" t="s">
        <v>839</v>
      </c>
      <c r="C79" s="18" t="s">
        <v>772</v>
      </c>
      <c r="D79" s="18" t="n">
        <v>15</v>
      </c>
      <c r="E79" s="18" t="n">
        <v>30</v>
      </c>
      <c r="F79" s="18" t="s">
        <v>767</v>
      </c>
      <c r="G79" s="18" t="n">
        <v>30</v>
      </c>
      <c r="H79" s="18" t="n">
        <v>60</v>
      </c>
    </row>
    <row r="80" customFormat="false" ht="15" hidden="false" customHeight="false" outlineLevel="0" collapsed="false">
      <c r="A80" s="18" t="s">
        <v>838</v>
      </c>
      <c r="B80" s="18" t="s">
        <v>839</v>
      </c>
      <c r="C80" s="18" t="s">
        <v>774</v>
      </c>
      <c r="D80" s="18" t="n">
        <v>15</v>
      </c>
      <c r="E80" s="18" t="n">
        <v>30</v>
      </c>
      <c r="F80" s="18" t="s">
        <v>767</v>
      </c>
      <c r="G80" s="18" t="n">
        <v>25</v>
      </c>
      <c r="H80" s="18" t="n">
        <v>75</v>
      </c>
    </row>
    <row r="81" customFormat="false" ht="15" hidden="false" customHeight="false" outlineLevel="0" collapsed="false">
      <c r="A81" s="18" t="s">
        <v>840</v>
      </c>
      <c r="B81" s="18" t="s">
        <v>841</v>
      </c>
      <c r="C81" s="18" t="s">
        <v>842</v>
      </c>
      <c r="D81" s="18" t="n">
        <v>18</v>
      </c>
      <c r="E81" s="18" t="n">
        <v>30</v>
      </c>
      <c r="F81" s="18" t="s">
        <v>767</v>
      </c>
      <c r="G81" s="18" t="n">
        <v>50</v>
      </c>
      <c r="H81" s="18" t="n">
        <v>95</v>
      </c>
    </row>
    <row r="82" customFormat="false" ht="15" hidden="false" customHeight="false" outlineLevel="0" collapsed="false">
      <c r="A82" s="18" t="s">
        <v>840</v>
      </c>
      <c r="B82" s="18" t="s">
        <v>841</v>
      </c>
      <c r="C82" s="18" t="s">
        <v>843</v>
      </c>
      <c r="D82" s="18" t="n">
        <v>18</v>
      </c>
      <c r="E82" s="18" t="n">
        <v>30</v>
      </c>
      <c r="F82" s="18" t="s">
        <v>769</v>
      </c>
      <c r="G82" s="18" t="n">
        <v>50</v>
      </c>
      <c r="H82" s="18" t="n">
        <v>95</v>
      </c>
    </row>
    <row r="83" customFormat="false" ht="15" hidden="false" customHeight="false" outlineLevel="0" collapsed="false">
      <c r="A83" s="18" t="s">
        <v>840</v>
      </c>
      <c r="B83" s="18" t="s">
        <v>841</v>
      </c>
      <c r="C83" s="18" t="s">
        <v>793</v>
      </c>
      <c r="D83" s="18" t="n">
        <v>18</v>
      </c>
      <c r="E83" s="18" t="n">
        <v>30</v>
      </c>
      <c r="F83" s="18" t="s">
        <v>767</v>
      </c>
      <c r="G83" s="18" t="n">
        <v>50</v>
      </c>
      <c r="H83" s="18" t="n">
        <v>95</v>
      </c>
    </row>
    <row r="84" customFormat="false" ht="15" hidden="false" customHeight="false" outlineLevel="0" collapsed="false">
      <c r="A84" s="18" t="s">
        <v>844</v>
      </c>
      <c r="B84" s="18" t="s">
        <v>845</v>
      </c>
      <c r="C84" s="18" t="s">
        <v>846</v>
      </c>
      <c r="D84" s="18" t="n">
        <v>18</v>
      </c>
      <c r="E84" s="18" t="n">
        <v>30</v>
      </c>
      <c r="F84" s="18" t="s">
        <v>767</v>
      </c>
      <c r="G84" s="18" t="n">
        <v>32</v>
      </c>
      <c r="H84" s="18" t="n">
        <v>65</v>
      </c>
    </row>
    <row r="85" customFormat="false" ht="15" hidden="false" customHeight="false" outlineLevel="0" collapsed="false">
      <c r="A85" s="18" t="s">
        <v>844</v>
      </c>
      <c r="B85" s="18" t="s">
        <v>845</v>
      </c>
      <c r="C85" s="18" t="s">
        <v>774</v>
      </c>
      <c r="D85" s="18" t="n">
        <v>15</v>
      </c>
      <c r="E85" s="18" t="n">
        <v>30</v>
      </c>
      <c r="F85" s="18" t="s">
        <v>847</v>
      </c>
      <c r="G85" s="18" t="n">
        <v>40</v>
      </c>
      <c r="H85" s="18" t="n">
        <v>85</v>
      </c>
    </row>
    <row r="86" customFormat="false" ht="15" hidden="false" customHeight="false" outlineLevel="0" collapsed="false">
      <c r="A86" s="18" t="s">
        <v>844</v>
      </c>
      <c r="B86" s="18" t="s">
        <v>845</v>
      </c>
      <c r="C86" s="18" t="s">
        <v>785</v>
      </c>
      <c r="D86" s="18" t="n">
        <v>15</v>
      </c>
      <c r="E86" s="18" t="n">
        <v>30</v>
      </c>
      <c r="F86" s="18" t="s">
        <v>848</v>
      </c>
      <c r="G86" s="18" t="n">
        <v>35</v>
      </c>
      <c r="H86" s="18" t="n">
        <v>85</v>
      </c>
    </row>
    <row r="87" customFormat="false" ht="15" hidden="false" customHeight="false" outlineLevel="0" collapsed="false">
      <c r="A87" s="18" t="s">
        <v>844</v>
      </c>
      <c r="B87" s="18" t="s">
        <v>845</v>
      </c>
      <c r="C87" s="18" t="s">
        <v>834</v>
      </c>
      <c r="D87" s="18" t="n">
        <v>15</v>
      </c>
      <c r="E87" s="18" t="n">
        <v>25</v>
      </c>
      <c r="F87" s="18" t="s">
        <v>810</v>
      </c>
      <c r="G87" s="18" t="n">
        <v>40</v>
      </c>
      <c r="H87" s="18" t="n">
        <v>75</v>
      </c>
    </row>
    <row r="88" customFormat="false" ht="15" hidden="false" customHeight="false" outlineLevel="0" collapsed="false">
      <c r="A88" s="18" t="s">
        <v>844</v>
      </c>
      <c r="B88" s="18" t="s">
        <v>845</v>
      </c>
      <c r="C88" s="18" t="s">
        <v>790</v>
      </c>
      <c r="D88" s="18" t="n">
        <v>15</v>
      </c>
      <c r="E88" s="18" t="n">
        <v>30</v>
      </c>
      <c r="F88" s="18" t="s">
        <v>767</v>
      </c>
      <c r="G88" s="18" t="n">
        <v>35</v>
      </c>
      <c r="H88" s="18" t="n">
        <v>90</v>
      </c>
    </row>
    <row r="89" customFormat="false" ht="15" hidden="false" customHeight="false" outlineLevel="0" collapsed="false">
      <c r="A89" s="18" t="s">
        <v>844</v>
      </c>
      <c r="B89" s="18" t="s">
        <v>845</v>
      </c>
      <c r="C89" s="18" t="s">
        <v>790</v>
      </c>
      <c r="D89" s="18" t="n">
        <v>15</v>
      </c>
      <c r="E89" s="18" t="n">
        <v>25</v>
      </c>
      <c r="F89" s="18" t="s">
        <v>849</v>
      </c>
      <c r="G89" s="18" t="n">
        <v>40</v>
      </c>
      <c r="H89" s="18" t="n">
        <v>80</v>
      </c>
    </row>
    <row r="90" customFormat="false" ht="15" hidden="false" customHeight="false" outlineLevel="0" collapsed="false">
      <c r="A90" s="18" t="s">
        <v>844</v>
      </c>
      <c r="B90" s="18" t="s">
        <v>845</v>
      </c>
      <c r="C90" s="18" t="s">
        <v>800</v>
      </c>
      <c r="D90" s="18" t="n">
        <v>15</v>
      </c>
      <c r="E90" s="18" t="n">
        <v>25</v>
      </c>
      <c r="F90" s="18" t="s">
        <v>850</v>
      </c>
      <c r="G90" s="18" t="n">
        <v>50</v>
      </c>
      <c r="H90" s="18" t="n">
        <v>90</v>
      </c>
    </row>
    <row r="91" customFormat="false" ht="15" hidden="false" customHeight="false" outlineLevel="0" collapsed="false">
      <c r="A91" s="18" t="s">
        <v>844</v>
      </c>
      <c r="B91" s="18" t="s">
        <v>845</v>
      </c>
      <c r="C91" s="18" t="s">
        <v>801</v>
      </c>
      <c r="D91" s="18" t="n">
        <v>15</v>
      </c>
      <c r="E91" s="18" t="n">
        <v>25</v>
      </c>
      <c r="F91" s="18" t="s">
        <v>775</v>
      </c>
      <c r="G91" s="18" t="n">
        <v>50</v>
      </c>
      <c r="H91" s="18" t="n">
        <v>95</v>
      </c>
    </row>
    <row r="92" customFormat="false" ht="15" hidden="false" customHeight="false" outlineLevel="0" collapsed="false">
      <c r="A92" s="18" t="s">
        <v>844</v>
      </c>
      <c r="B92" s="18" t="s">
        <v>845</v>
      </c>
      <c r="C92" s="18" t="s">
        <v>803</v>
      </c>
      <c r="D92" s="18" t="n">
        <v>12</v>
      </c>
      <c r="E92" s="18" t="n">
        <v>20</v>
      </c>
      <c r="F92" s="18" t="s">
        <v>775</v>
      </c>
      <c r="G92" s="18" t="n">
        <v>60</v>
      </c>
      <c r="H92" s="18" t="n">
        <v>115</v>
      </c>
    </row>
    <row r="93" customFormat="false" ht="15" hidden="false" customHeight="false" outlineLevel="0" collapsed="false">
      <c r="A93" s="18" t="s">
        <v>851</v>
      </c>
      <c r="B93" s="18" t="s">
        <v>852</v>
      </c>
      <c r="C93" s="18" t="s">
        <v>772</v>
      </c>
      <c r="D93" s="18" t="n">
        <v>18</v>
      </c>
      <c r="E93" s="18" t="n">
        <v>30</v>
      </c>
      <c r="F93" s="18" t="s">
        <v>767</v>
      </c>
      <c r="G93" s="18" t="n">
        <v>30</v>
      </c>
      <c r="H93" s="18" t="n">
        <v>65</v>
      </c>
    </row>
    <row r="94" customFormat="false" ht="15" hidden="false" customHeight="false" outlineLevel="0" collapsed="false">
      <c r="A94" s="18" t="s">
        <v>851</v>
      </c>
      <c r="B94" s="18" t="s">
        <v>852</v>
      </c>
      <c r="C94" s="18" t="s">
        <v>774</v>
      </c>
      <c r="D94" s="18" t="n">
        <v>15</v>
      </c>
      <c r="E94" s="18" t="n">
        <v>30</v>
      </c>
      <c r="F94" s="18" t="s">
        <v>767</v>
      </c>
      <c r="G94" s="18" t="n">
        <v>30</v>
      </c>
      <c r="H94" s="18" t="n">
        <v>85</v>
      </c>
    </row>
    <row r="95" customFormat="false" ht="15" hidden="false" customHeight="false" outlineLevel="0" collapsed="false">
      <c r="A95" s="18" t="s">
        <v>853</v>
      </c>
      <c r="B95" s="18" t="s">
        <v>854</v>
      </c>
      <c r="C95" s="18" t="s">
        <v>788</v>
      </c>
      <c r="D95" s="18" t="n">
        <v>20</v>
      </c>
      <c r="E95" s="18" t="n">
        <v>35</v>
      </c>
      <c r="F95" s="18" t="s">
        <v>810</v>
      </c>
      <c r="G95" s="18" t="n">
        <v>35</v>
      </c>
      <c r="H95" s="18" t="n">
        <v>100</v>
      </c>
    </row>
    <row r="96" customFormat="false" ht="15" hidden="false" customHeight="false" outlineLevel="0" collapsed="false">
      <c r="A96" s="18" t="s">
        <v>853</v>
      </c>
      <c r="B96" s="18" t="s">
        <v>854</v>
      </c>
      <c r="C96" s="18" t="s">
        <v>791</v>
      </c>
      <c r="D96" s="18" t="n">
        <v>20</v>
      </c>
      <c r="E96" s="18" t="n">
        <v>35</v>
      </c>
      <c r="F96" s="18" t="s">
        <v>810</v>
      </c>
      <c r="G96" s="18" t="n">
        <v>35</v>
      </c>
      <c r="H96" s="18" t="n">
        <v>120</v>
      </c>
    </row>
    <row r="97" customFormat="false" ht="15" hidden="false" customHeight="false" outlineLevel="0" collapsed="false">
      <c r="A97" s="18" t="s">
        <v>853</v>
      </c>
      <c r="B97" s="18" t="s">
        <v>854</v>
      </c>
      <c r="C97" s="18" t="s">
        <v>803</v>
      </c>
      <c r="D97" s="18" t="n">
        <v>15</v>
      </c>
      <c r="E97" s="18" t="n">
        <v>25</v>
      </c>
      <c r="F97" s="18" t="s">
        <v>810</v>
      </c>
      <c r="G97" s="18" t="n">
        <v>50</v>
      </c>
      <c r="H97" s="18" t="n">
        <v>130</v>
      </c>
    </row>
    <row r="98" customFormat="false" ht="15" hidden="false" customHeight="false" outlineLevel="0" collapsed="false">
      <c r="A98" s="18" t="s">
        <v>853</v>
      </c>
      <c r="B98" s="18" t="s">
        <v>854</v>
      </c>
      <c r="C98" s="18" t="s">
        <v>818</v>
      </c>
      <c r="D98" s="18" t="n">
        <v>15</v>
      </c>
      <c r="E98" s="18" t="n">
        <v>25</v>
      </c>
      <c r="F98" s="18" t="s">
        <v>810</v>
      </c>
      <c r="G98" s="18" t="n">
        <v>55</v>
      </c>
      <c r="H98" s="18" t="n">
        <v>140</v>
      </c>
    </row>
    <row r="99" customFormat="false" ht="15" hidden="false" customHeight="false" outlineLevel="0" collapsed="false">
      <c r="A99" s="18" t="s">
        <v>855</v>
      </c>
      <c r="B99" s="18" t="s">
        <v>856</v>
      </c>
      <c r="C99" s="18" t="s">
        <v>772</v>
      </c>
      <c r="D99" s="18" t="n">
        <v>20</v>
      </c>
      <c r="E99" s="18" t="n">
        <v>35</v>
      </c>
      <c r="F99" s="18" t="s">
        <v>857</v>
      </c>
      <c r="G99" s="18" t="n">
        <v>28</v>
      </c>
      <c r="H99" s="18" t="n">
        <v>55</v>
      </c>
    </row>
    <row r="100" customFormat="false" ht="15" hidden="false" customHeight="false" outlineLevel="0" collapsed="false">
      <c r="A100" s="18" t="s">
        <v>858</v>
      </c>
      <c r="B100" s="18" t="s">
        <v>859</v>
      </c>
      <c r="C100" s="18" t="s">
        <v>772</v>
      </c>
      <c r="D100" s="18" t="n">
        <v>20</v>
      </c>
      <c r="E100" s="18" t="n">
        <v>35</v>
      </c>
      <c r="F100" s="18" t="s">
        <v>796</v>
      </c>
      <c r="G100" s="18" t="n">
        <v>35</v>
      </c>
      <c r="H100" s="18" t="n">
        <v>90</v>
      </c>
    </row>
    <row r="101" customFormat="false" ht="15" hidden="false" customHeight="false" outlineLevel="0" collapsed="false">
      <c r="A101" s="18" t="s">
        <v>860</v>
      </c>
      <c r="B101" s="18" t="s">
        <v>861</v>
      </c>
      <c r="C101" s="18" t="s">
        <v>862</v>
      </c>
      <c r="D101" s="18" t="n">
        <v>15</v>
      </c>
      <c r="E101" s="18" t="n">
        <v>30</v>
      </c>
      <c r="F101" s="18" t="s">
        <v>823</v>
      </c>
      <c r="G101" s="18" t="n">
        <v>25</v>
      </c>
      <c r="H101" s="18" t="n">
        <v>60</v>
      </c>
    </row>
    <row r="102" customFormat="false" ht="15" hidden="false" customHeight="false" outlineLevel="0" collapsed="false">
      <c r="A102" s="18" t="s">
        <v>863</v>
      </c>
      <c r="B102" s="18" t="s">
        <v>864</v>
      </c>
      <c r="C102" s="18" t="s">
        <v>774</v>
      </c>
      <c r="D102" s="18" t="n">
        <v>15</v>
      </c>
      <c r="E102" s="18" t="n">
        <v>30</v>
      </c>
      <c r="F102" s="18" t="s">
        <v>784</v>
      </c>
      <c r="G102" s="18" t="n">
        <v>30</v>
      </c>
      <c r="H102" s="18" t="n">
        <v>80</v>
      </c>
    </row>
    <row r="103" customFormat="false" ht="15" hidden="false" customHeight="false" outlineLevel="0" collapsed="false">
      <c r="A103" s="18" t="s">
        <v>865</v>
      </c>
      <c r="B103" s="18" t="s">
        <v>866</v>
      </c>
      <c r="C103" s="18" t="s">
        <v>774</v>
      </c>
      <c r="D103" s="18" t="n">
        <v>15</v>
      </c>
      <c r="E103" s="18" t="n">
        <v>30</v>
      </c>
      <c r="F103" s="18" t="s">
        <v>784</v>
      </c>
      <c r="G103" s="18" t="n">
        <v>30</v>
      </c>
      <c r="H103" s="18" t="n">
        <v>80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5" t="s">
        <v>867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  <c r="I2" s="16"/>
    </row>
    <row r="3" customFormat="false" ht="30" hidden="false" customHeight="true" outlineLevel="0" collapsed="false">
      <c r="A3" s="17" t="s">
        <v>868</v>
      </c>
      <c r="B3" s="17" t="s">
        <v>167</v>
      </c>
      <c r="C3" s="17" t="s">
        <v>240</v>
      </c>
      <c r="D3" s="17" t="s">
        <v>243</v>
      </c>
      <c r="E3" s="17" t="s">
        <v>246</v>
      </c>
      <c r="F3" s="17" t="s">
        <v>249</v>
      </c>
      <c r="G3" s="17" t="s">
        <v>869</v>
      </c>
      <c r="H3" s="17" t="s">
        <v>870</v>
      </c>
      <c r="I3" s="17" t="s">
        <v>252</v>
      </c>
    </row>
    <row r="4" customFormat="false" ht="15" hidden="false" customHeight="false" outlineLevel="0" collapsed="false">
      <c r="A4" s="18" t="s">
        <v>764</v>
      </c>
      <c r="B4" s="18" t="s">
        <v>871</v>
      </c>
      <c r="C4" s="18" t="s">
        <v>872</v>
      </c>
      <c r="D4" s="18" t="s">
        <v>873</v>
      </c>
      <c r="E4" s="18" t="s">
        <v>874</v>
      </c>
      <c r="F4" s="18" t="s">
        <v>875</v>
      </c>
      <c r="G4" s="18" t="s">
        <v>876</v>
      </c>
      <c r="H4" s="18" t="s">
        <v>877</v>
      </c>
      <c r="I4" s="18" t="s">
        <v>878</v>
      </c>
    </row>
    <row r="5" customFormat="false" ht="15" hidden="false" customHeight="false" outlineLevel="0" collapsed="false">
      <c r="A5" s="18" t="s">
        <v>776</v>
      </c>
      <c r="B5" s="18" t="s">
        <v>879</v>
      </c>
      <c r="C5" s="18" t="s">
        <v>880</v>
      </c>
      <c r="D5" s="18" t="s">
        <v>881</v>
      </c>
      <c r="E5" s="18" t="s">
        <v>874</v>
      </c>
      <c r="F5" s="18" t="s">
        <v>875</v>
      </c>
      <c r="G5" s="18" t="s">
        <v>882</v>
      </c>
      <c r="H5" s="18" t="s">
        <v>877</v>
      </c>
      <c r="I5" s="18" t="s">
        <v>883</v>
      </c>
    </row>
    <row r="6" customFormat="false" ht="15" hidden="false" customHeight="false" outlineLevel="0" collapsed="false">
      <c r="A6" s="18" t="s">
        <v>776</v>
      </c>
      <c r="B6" s="18" t="s">
        <v>884</v>
      </c>
      <c r="C6" s="18" t="s">
        <v>872</v>
      </c>
      <c r="D6" s="18" t="s">
        <v>881</v>
      </c>
      <c r="E6" s="18" t="s">
        <v>874</v>
      </c>
      <c r="F6" s="18" t="s">
        <v>875</v>
      </c>
      <c r="G6" s="18" t="s">
        <v>885</v>
      </c>
      <c r="H6" s="18" t="s">
        <v>877</v>
      </c>
      <c r="I6" s="18" t="s">
        <v>883</v>
      </c>
    </row>
    <row r="7" customFormat="false" ht="15" hidden="false" customHeight="false" outlineLevel="0" collapsed="false">
      <c r="A7" s="18" t="s">
        <v>794</v>
      </c>
      <c r="B7" s="18" t="s">
        <v>886</v>
      </c>
      <c r="C7" s="18" t="s">
        <v>887</v>
      </c>
      <c r="D7" s="18" t="s">
        <v>888</v>
      </c>
      <c r="E7" s="18" t="s">
        <v>889</v>
      </c>
      <c r="F7" s="18" t="s">
        <v>890</v>
      </c>
      <c r="G7" s="18" t="s">
        <v>891</v>
      </c>
      <c r="H7" s="18" t="s">
        <v>892</v>
      </c>
      <c r="I7" s="18" t="s">
        <v>893</v>
      </c>
    </row>
    <row r="8" customFormat="false" ht="15" hidden="false" customHeight="false" outlineLevel="0" collapsed="false">
      <c r="A8" s="18" t="s">
        <v>794</v>
      </c>
      <c r="B8" s="18" t="s">
        <v>894</v>
      </c>
      <c r="C8" s="18" t="s">
        <v>880</v>
      </c>
      <c r="D8" s="18" t="s">
        <v>888</v>
      </c>
      <c r="E8" s="18" t="s">
        <v>874</v>
      </c>
      <c r="F8" s="18" t="s">
        <v>890</v>
      </c>
      <c r="G8" s="18" t="s">
        <v>891</v>
      </c>
      <c r="H8" s="18" t="s">
        <v>892</v>
      </c>
      <c r="I8" s="18" t="s">
        <v>893</v>
      </c>
    </row>
    <row r="9" customFormat="false" ht="15" hidden="false" customHeight="false" outlineLevel="0" collapsed="false">
      <c r="A9" s="18" t="s">
        <v>807</v>
      </c>
      <c r="B9" s="18" t="s">
        <v>895</v>
      </c>
      <c r="C9" s="18" t="s">
        <v>764</v>
      </c>
      <c r="D9" s="18" t="s">
        <v>896</v>
      </c>
      <c r="E9" s="18" t="s">
        <v>889</v>
      </c>
      <c r="F9" s="18" t="s">
        <v>890</v>
      </c>
      <c r="G9" s="18" t="s">
        <v>897</v>
      </c>
      <c r="H9" s="18" t="s">
        <v>898</v>
      </c>
      <c r="I9" s="18" t="s">
        <v>899</v>
      </c>
    </row>
    <row r="10" customFormat="false" ht="15" hidden="false" customHeight="false" outlineLevel="0" collapsed="false">
      <c r="A10" s="18" t="s">
        <v>807</v>
      </c>
      <c r="B10" s="18" t="s">
        <v>900</v>
      </c>
      <c r="C10" s="18" t="s">
        <v>887</v>
      </c>
      <c r="D10" s="18" t="s">
        <v>888</v>
      </c>
      <c r="E10" s="18" t="s">
        <v>874</v>
      </c>
      <c r="F10" s="18" t="s">
        <v>890</v>
      </c>
      <c r="G10" s="18" t="s">
        <v>897</v>
      </c>
      <c r="H10" s="18" t="s">
        <v>898</v>
      </c>
      <c r="I10" s="18" t="s">
        <v>899</v>
      </c>
    </row>
    <row r="11" customFormat="false" ht="15" hidden="false" customHeight="false" outlineLevel="0" collapsed="false">
      <c r="A11" s="18" t="s">
        <v>816</v>
      </c>
      <c r="B11" s="18" t="s">
        <v>901</v>
      </c>
      <c r="C11" s="18" t="s">
        <v>902</v>
      </c>
      <c r="D11" s="18" t="s">
        <v>903</v>
      </c>
      <c r="E11" s="18" t="s">
        <v>904</v>
      </c>
      <c r="F11" s="18" t="s">
        <v>890</v>
      </c>
      <c r="G11" s="18" t="s">
        <v>897</v>
      </c>
      <c r="H11" s="18" t="s">
        <v>898</v>
      </c>
      <c r="I11" s="18" t="s">
        <v>905</v>
      </c>
    </row>
    <row r="12" customFormat="false" ht="15" hidden="false" customHeight="false" outlineLevel="0" collapsed="false">
      <c r="A12" s="18" t="s">
        <v>906</v>
      </c>
      <c r="B12" s="18" t="s">
        <v>901</v>
      </c>
      <c r="C12" s="18" t="s">
        <v>907</v>
      </c>
      <c r="D12" s="18" t="s">
        <v>903</v>
      </c>
      <c r="E12" s="18" t="s">
        <v>908</v>
      </c>
      <c r="F12" s="18" t="s">
        <v>890</v>
      </c>
      <c r="G12" s="18" t="s">
        <v>909</v>
      </c>
      <c r="H12" s="18" t="s">
        <v>910</v>
      </c>
      <c r="I12" s="18" t="s">
        <v>911</v>
      </c>
    </row>
    <row r="13" customFormat="false" ht="15" hidden="false" customHeight="false" outlineLevel="0" collapsed="false">
      <c r="A13" s="18" t="s">
        <v>912</v>
      </c>
      <c r="B13" s="18" t="s">
        <v>913</v>
      </c>
      <c r="C13" s="18" t="s">
        <v>878</v>
      </c>
      <c r="D13" s="18" t="s">
        <v>914</v>
      </c>
      <c r="E13" s="18" t="s">
        <v>915</v>
      </c>
      <c r="F13" s="18" t="s">
        <v>916</v>
      </c>
      <c r="G13" s="18" t="s">
        <v>909</v>
      </c>
      <c r="H13" s="18" t="s">
        <v>910</v>
      </c>
      <c r="I13" s="18" t="s">
        <v>917</v>
      </c>
    </row>
    <row r="14" customFormat="false" ht="15" hidden="false" customHeight="false" outlineLevel="0" collapsed="false">
      <c r="A14" s="18" t="s">
        <v>918</v>
      </c>
      <c r="B14" s="18" t="s">
        <v>919</v>
      </c>
      <c r="C14" s="18" t="s">
        <v>878</v>
      </c>
      <c r="D14" s="18" t="s">
        <v>920</v>
      </c>
      <c r="E14" s="18" t="s">
        <v>915</v>
      </c>
      <c r="F14" s="18" t="s">
        <v>916</v>
      </c>
      <c r="G14" s="18" t="s">
        <v>909</v>
      </c>
      <c r="H14" s="18" t="s">
        <v>921</v>
      </c>
      <c r="I14" s="18" t="s">
        <v>922</v>
      </c>
    </row>
    <row r="15" customFormat="false" ht="15" hidden="false" customHeight="false" outlineLevel="0" collapsed="false">
      <c r="A15" s="18" t="s">
        <v>923</v>
      </c>
      <c r="B15" s="18" t="s">
        <v>924</v>
      </c>
      <c r="C15" s="18" t="s">
        <v>883</v>
      </c>
      <c r="D15" s="18" t="s">
        <v>925</v>
      </c>
      <c r="E15" s="18" t="s">
        <v>926</v>
      </c>
      <c r="F15" s="18" t="s">
        <v>916</v>
      </c>
      <c r="G15" s="18" t="s">
        <v>909</v>
      </c>
      <c r="H15" s="18" t="s">
        <v>921</v>
      </c>
      <c r="I15" s="18" t="s">
        <v>927</v>
      </c>
    </row>
    <row r="16" customFormat="false" ht="15" hidden="false" customHeight="false" outlineLevel="0" collapsed="false">
      <c r="A16" s="18" t="s">
        <v>840</v>
      </c>
      <c r="B16" s="18" t="s">
        <v>928</v>
      </c>
      <c r="C16" s="18" t="s">
        <v>878</v>
      </c>
      <c r="D16" s="18" t="s">
        <v>914</v>
      </c>
      <c r="E16" s="18" t="s">
        <v>915</v>
      </c>
      <c r="F16" s="18" t="s">
        <v>916</v>
      </c>
      <c r="G16" s="18" t="s">
        <v>929</v>
      </c>
      <c r="H16" s="18" t="s">
        <v>921</v>
      </c>
      <c r="I16" s="18" t="s">
        <v>922</v>
      </c>
    </row>
    <row r="17" customFormat="false" ht="15" hidden="false" customHeight="false" outlineLevel="0" collapsed="false">
      <c r="A17" s="18" t="s">
        <v>844</v>
      </c>
      <c r="B17" s="18" t="s">
        <v>930</v>
      </c>
      <c r="C17" s="18" t="s">
        <v>883</v>
      </c>
      <c r="D17" s="18" t="s">
        <v>931</v>
      </c>
      <c r="E17" s="18" t="s">
        <v>915</v>
      </c>
      <c r="F17" s="18" t="s">
        <v>916</v>
      </c>
      <c r="G17" s="18" t="s">
        <v>929</v>
      </c>
      <c r="H17" s="18" t="s">
        <v>921</v>
      </c>
      <c r="I17" s="18" t="s">
        <v>932</v>
      </c>
    </row>
    <row r="18" customFormat="false" ht="15" hidden="false" customHeight="false" outlineLevel="0" collapsed="false">
      <c r="A18" s="18" t="s">
        <v>853</v>
      </c>
      <c r="B18" s="18" t="s">
        <v>933</v>
      </c>
      <c r="C18" s="18" t="s">
        <v>883</v>
      </c>
      <c r="D18" s="18" t="s">
        <v>931</v>
      </c>
      <c r="E18" s="18" t="s">
        <v>915</v>
      </c>
      <c r="F18" s="18" t="s">
        <v>916</v>
      </c>
      <c r="G18" s="18" t="s">
        <v>934</v>
      </c>
      <c r="H18" s="18" t="s">
        <v>921</v>
      </c>
      <c r="I18" s="18" t="s">
        <v>935</v>
      </c>
    </row>
    <row r="19" customFormat="false" ht="23.85" hidden="false" customHeight="false" outlineLevel="0" collapsed="false">
      <c r="A19" s="18" t="s">
        <v>936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18" t="s">
        <v>937</v>
      </c>
      <c r="B20" s="18" t="s">
        <v>938</v>
      </c>
      <c r="C20" s="18" t="s">
        <v>939</v>
      </c>
      <c r="D20" s="18" t="s">
        <v>940</v>
      </c>
      <c r="E20" s="18" t="s">
        <v>262</v>
      </c>
      <c r="F20" s="18"/>
      <c r="G20" s="18"/>
      <c r="H20" s="18"/>
      <c r="I20" s="18"/>
    </row>
    <row r="21" customFormat="false" ht="15" hidden="false" customHeight="false" outlineLevel="0" collapsed="false">
      <c r="A21" s="18" t="s">
        <v>764</v>
      </c>
      <c r="B21" s="18" t="s">
        <v>941</v>
      </c>
      <c r="C21" s="18" t="s">
        <v>942</v>
      </c>
      <c r="D21" s="18" t="s">
        <v>943</v>
      </c>
      <c r="E21" s="18" t="s">
        <v>944</v>
      </c>
      <c r="F21" s="18"/>
      <c r="G21" s="18"/>
      <c r="H21" s="18"/>
      <c r="I21" s="18"/>
    </row>
    <row r="22" customFormat="false" ht="15" hidden="false" customHeight="false" outlineLevel="0" collapsed="false">
      <c r="A22" s="18" t="s">
        <v>797</v>
      </c>
      <c r="B22" s="18" t="s">
        <v>945</v>
      </c>
      <c r="C22" s="18" t="s">
        <v>946</v>
      </c>
      <c r="D22" s="18" t="s">
        <v>947</v>
      </c>
      <c r="E22" s="18" t="s">
        <v>948</v>
      </c>
      <c r="F22" s="18"/>
      <c r="G22" s="18"/>
      <c r="H22" s="18"/>
      <c r="I22" s="18"/>
    </row>
    <row r="23" customFormat="false" ht="15" hidden="false" customHeight="false" outlineLevel="0" collapsed="false">
      <c r="A23" s="18" t="s">
        <v>816</v>
      </c>
      <c r="B23" s="18" t="s">
        <v>949</v>
      </c>
      <c r="C23" s="18" t="s">
        <v>950</v>
      </c>
      <c r="D23" s="18" t="s">
        <v>951</v>
      </c>
      <c r="E23" s="18" t="s">
        <v>952</v>
      </c>
      <c r="F23" s="18"/>
      <c r="G23" s="18"/>
      <c r="H23" s="18"/>
      <c r="I23" s="18"/>
    </row>
    <row r="24" customFormat="false" ht="15" hidden="false" customHeight="false" outlineLevel="0" collapsed="false">
      <c r="A24" s="18" t="s">
        <v>830</v>
      </c>
      <c r="B24" s="18" t="s">
        <v>844</v>
      </c>
      <c r="C24" s="18" t="s">
        <v>953</v>
      </c>
      <c r="D24" s="18" t="s">
        <v>954</v>
      </c>
      <c r="E24" s="18" t="s">
        <v>955</v>
      </c>
      <c r="F24" s="18"/>
      <c r="G24" s="18"/>
      <c r="H24" s="18"/>
      <c r="I24" s="18"/>
    </row>
    <row r="25" customFormat="false" ht="15" hidden="false" customHeight="false" outlineLevel="0" collapsed="false">
      <c r="A25" s="18" t="s">
        <v>844</v>
      </c>
      <c r="B25" s="18" t="s">
        <v>956</v>
      </c>
      <c r="C25" s="18" t="s">
        <v>957</v>
      </c>
      <c r="D25" s="18" t="s">
        <v>958</v>
      </c>
      <c r="E25" s="18" t="s">
        <v>959</v>
      </c>
      <c r="F25" s="18"/>
      <c r="G25" s="18"/>
      <c r="H25" s="18"/>
      <c r="I25" s="18"/>
    </row>
    <row r="26" customFormat="false" ht="15" hidden="false" customHeight="false" outlineLevel="0" collapsed="false">
      <c r="A26" s="18" t="s">
        <v>853</v>
      </c>
      <c r="B26" s="18" t="s">
        <v>960</v>
      </c>
      <c r="C26" s="18" t="s">
        <v>961</v>
      </c>
      <c r="D26" s="18" t="s">
        <v>962</v>
      </c>
      <c r="E26" s="18" t="s">
        <v>963</v>
      </c>
      <c r="F26" s="18"/>
      <c r="G26" s="18"/>
      <c r="H26" s="18"/>
      <c r="I26" s="18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5" t="s">
        <v>964</v>
      </c>
      <c r="B1" s="15"/>
      <c r="C1" s="15"/>
    </row>
    <row r="2" customFormat="false" ht="15" hidden="false" customHeight="false" outlineLevel="0" collapsed="false">
      <c r="A2" s="16" t="s">
        <v>34</v>
      </c>
      <c r="B2" s="16"/>
      <c r="C2" s="16"/>
    </row>
    <row r="3" customFormat="false" ht="30" hidden="false" customHeight="true" outlineLevel="0" collapsed="false">
      <c r="A3" s="17" t="s">
        <v>965</v>
      </c>
      <c r="B3" s="17" t="s">
        <v>966</v>
      </c>
      <c r="C3" s="17" t="s">
        <v>967</v>
      </c>
    </row>
    <row r="4" customFormat="false" ht="15" hidden="false" customHeight="false" outlineLevel="0" collapsed="false">
      <c r="A4" s="18" t="s">
        <v>968</v>
      </c>
      <c r="B4" s="18" t="s">
        <v>969</v>
      </c>
      <c r="C4" s="18" t="s">
        <v>970</v>
      </c>
    </row>
    <row r="5" customFormat="false" ht="15" hidden="false" customHeight="false" outlineLevel="0" collapsed="false">
      <c r="A5" s="18" t="s">
        <v>968</v>
      </c>
      <c r="B5" s="18" t="s">
        <v>971</v>
      </c>
      <c r="C5" s="18" t="s">
        <v>972</v>
      </c>
    </row>
    <row r="6" customFormat="false" ht="15" hidden="false" customHeight="false" outlineLevel="0" collapsed="false">
      <c r="A6" s="18" t="s">
        <v>968</v>
      </c>
      <c r="B6" s="18" t="s">
        <v>973</v>
      </c>
      <c r="C6" s="18" t="s">
        <v>974</v>
      </c>
    </row>
    <row r="7" customFormat="false" ht="15" hidden="false" customHeight="false" outlineLevel="0" collapsed="false">
      <c r="A7" s="18" t="s">
        <v>968</v>
      </c>
      <c r="B7" s="18" t="s">
        <v>975</v>
      </c>
      <c r="C7" s="18" t="s">
        <v>976</v>
      </c>
    </row>
    <row r="8" customFormat="false" ht="15" hidden="false" customHeight="false" outlineLevel="0" collapsed="false">
      <c r="A8" s="18" t="s">
        <v>968</v>
      </c>
      <c r="B8" s="18" t="s">
        <v>977</v>
      </c>
      <c r="C8" s="18" t="s">
        <v>978</v>
      </c>
    </row>
    <row r="9" customFormat="false" ht="15" hidden="false" customHeight="false" outlineLevel="0" collapsed="false">
      <c r="A9" s="18" t="s">
        <v>761</v>
      </c>
      <c r="B9" s="18" t="s">
        <v>979</v>
      </c>
      <c r="C9" s="18" t="s">
        <v>980</v>
      </c>
    </row>
    <row r="10" customFormat="false" ht="15" hidden="false" customHeight="false" outlineLevel="0" collapsed="false">
      <c r="A10" s="18" t="s">
        <v>761</v>
      </c>
      <c r="B10" s="18" t="s">
        <v>981</v>
      </c>
      <c r="C10" s="18" t="s">
        <v>982</v>
      </c>
    </row>
    <row r="11" customFormat="false" ht="15" hidden="false" customHeight="false" outlineLevel="0" collapsed="false">
      <c r="A11" s="18" t="s">
        <v>761</v>
      </c>
      <c r="B11" s="18" t="s">
        <v>983</v>
      </c>
      <c r="C11" s="18" t="s">
        <v>984</v>
      </c>
    </row>
    <row r="12" customFormat="false" ht="23.85" hidden="false" customHeight="false" outlineLevel="0" collapsed="false">
      <c r="A12" s="18" t="s">
        <v>985</v>
      </c>
      <c r="B12" s="18" t="s">
        <v>986</v>
      </c>
      <c r="C12" s="18" t="s">
        <v>987</v>
      </c>
    </row>
    <row r="13" customFormat="false" ht="15" hidden="false" customHeight="false" outlineLevel="0" collapsed="false">
      <c r="A13" s="18" t="s">
        <v>221</v>
      </c>
      <c r="B13" s="18" t="s">
        <v>988</v>
      </c>
      <c r="C13" s="18"/>
    </row>
    <row r="14" customFormat="false" ht="23.85" hidden="false" customHeight="false" outlineLevel="0" collapsed="false">
      <c r="A14" s="18" t="s">
        <v>989</v>
      </c>
      <c r="B14" s="18" t="s">
        <v>990</v>
      </c>
      <c r="C14" s="18"/>
    </row>
    <row r="15" customFormat="false" ht="15" hidden="false" customHeight="false" outlineLevel="0" collapsed="false">
      <c r="A15" s="18" t="s">
        <v>991</v>
      </c>
      <c r="B15" s="18" t="s">
        <v>992</v>
      </c>
      <c r="C15" s="18"/>
    </row>
    <row r="16" customFormat="false" ht="23.85" hidden="false" customHeight="false" outlineLevel="0" collapsed="false">
      <c r="A16" s="18" t="s">
        <v>993</v>
      </c>
      <c r="B16" s="18" t="s">
        <v>994</v>
      </c>
      <c r="C16" s="18" t="s">
        <v>995</v>
      </c>
    </row>
    <row r="17" customFormat="false" ht="15" hidden="false" customHeight="false" outlineLevel="0" collapsed="false">
      <c r="A17" s="18" t="s">
        <v>996</v>
      </c>
      <c r="B17" s="18" t="s">
        <v>997</v>
      </c>
      <c r="C17" s="18" t="s">
        <v>998</v>
      </c>
    </row>
    <row r="18" customFormat="false" ht="15" hidden="false" customHeight="false" outlineLevel="0" collapsed="false">
      <c r="A18" s="18" t="s">
        <v>999</v>
      </c>
      <c r="B18" s="18" t="s">
        <v>1000</v>
      </c>
      <c r="C18" s="18" t="s">
        <v>1001</v>
      </c>
    </row>
    <row r="19" customFormat="false" ht="15" hidden="false" customHeight="false" outlineLevel="0" collapsed="false">
      <c r="A19" s="18" t="s">
        <v>1002</v>
      </c>
      <c r="B19" s="18" t="s">
        <v>1003</v>
      </c>
      <c r="C19" s="18" t="s">
        <v>1004</v>
      </c>
    </row>
    <row r="20" customFormat="false" ht="23.85" hidden="false" customHeight="false" outlineLevel="0" collapsed="false">
      <c r="A20" s="18" t="s">
        <v>1005</v>
      </c>
      <c r="B20" s="18" t="s">
        <v>1006</v>
      </c>
      <c r="C20" s="18" t="s">
        <v>1007</v>
      </c>
    </row>
    <row r="21" customFormat="false" ht="15" hidden="false" customHeight="false" outlineLevel="0" collapsed="false">
      <c r="A21" s="18" t="s">
        <v>1008</v>
      </c>
      <c r="B21" s="18" t="s">
        <v>1009</v>
      </c>
      <c r="C21" s="18" t="s">
        <v>1010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5" t="s">
        <v>1011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1012</v>
      </c>
      <c r="B3" s="17" t="s">
        <v>115</v>
      </c>
      <c r="C3" s="17" t="s">
        <v>1013</v>
      </c>
      <c r="D3" s="17" t="s">
        <v>1014</v>
      </c>
    </row>
    <row r="4" customFormat="false" ht="15" hidden="false" customHeight="false" outlineLevel="0" collapsed="false">
      <c r="A4" s="18" t="s">
        <v>1015</v>
      </c>
      <c r="B4" s="18" t="s">
        <v>1016</v>
      </c>
      <c r="C4" s="18" t="s">
        <v>1017</v>
      </c>
      <c r="D4" s="18" t="s">
        <v>1018</v>
      </c>
    </row>
    <row r="5" customFormat="false" ht="15" hidden="false" customHeight="false" outlineLevel="0" collapsed="false">
      <c r="A5" s="18" t="s">
        <v>1019</v>
      </c>
      <c r="B5" s="18" t="s">
        <v>1020</v>
      </c>
      <c r="C5" s="18" t="s">
        <v>1021</v>
      </c>
      <c r="D5" s="18" t="s">
        <v>1022</v>
      </c>
    </row>
    <row r="6" customFormat="false" ht="23.85" hidden="false" customHeight="false" outlineLevel="0" collapsed="false">
      <c r="A6" s="18" t="s">
        <v>1023</v>
      </c>
      <c r="B6" s="18" t="s">
        <v>1024</v>
      </c>
      <c r="C6" s="18" t="s">
        <v>1025</v>
      </c>
      <c r="D6" s="18" t="s">
        <v>1026</v>
      </c>
    </row>
    <row r="7" customFormat="false" ht="15" hidden="false" customHeight="false" outlineLevel="0" collapsed="false">
      <c r="A7" s="18" t="s">
        <v>1027</v>
      </c>
      <c r="B7" s="18" t="s">
        <v>1028</v>
      </c>
      <c r="C7" s="18" t="s">
        <v>1029</v>
      </c>
      <c r="D7" s="18" t="s">
        <v>1030</v>
      </c>
    </row>
    <row r="8" customFormat="false" ht="23.85" hidden="false" customHeight="false" outlineLevel="0" collapsed="false">
      <c r="A8" s="18" t="s">
        <v>1031</v>
      </c>
      <c r="B8" s="18" t="s">
        <v>1032</v>
      </c>
      <c r="C8" s="18" t="s">
        <v>1033</v>
      </c>
      <c r="D8" s="18" t="s">
        <v>1034</v>
      </c>
    </row>
    <row r="9" customFormat="false" ht="23.85" hidden="false" customHeight="false" outlineLevel="0" collapsed="false">
      <c r="A9" s="18" t="s">
        <v>1035</v>
      </c>
      <c r="B9" s="18" t="s">
        <v>1036</v>
      </c>
      <c r="C9" s="18" t="s">
        <v>1037</v>
      </c>
      <c r="D9" s="18" t="s">
        <v>1038</v>
      </c>
    </row>
    <row r="10" customFormat="false" ht="15" hidden="false" customHeight="false" outlineLevel="0" collapsed="false">
      <c r="A10" s="18" t="s">
        <v>1039</v>
      </c>
      <c r="B10" s="18" t="s">
        <v>1040</v>
      </c>
      <c r="C10" s="18" t="s">
        <v>1041</v>
      </c>
      <c r="D10" s="18" t="s">
        <v>1042</v>
      </c>
    </row>
    <row r="11" customFormat="false" ht="23.85" hidden="false" customHeight="false" outlineLevel="0" collapsed="false">
      <c r="A11" s="18" t="s">
        <v>1043</v>
      </c>
      <c r="B11" s="18" t="s">
        <v>125</v>
      </c>
      <c r="C11" s="18" t="s">
        <v>125</v>
      </c>
      <c r="D11" s="18" t="s">
        <v>1044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6"/>
  </cols>
  <sheetData>
    <row r="1" customFormat="false" ht="24" hidden="false" customHeight="true" outlineLevel="0" collapsed="false">
      <c r="A1" s="15" t="s">
        <v>1045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1046</v>
      </c>
      <c r="B3" s="17" t="s">
        <v>1047</v>
      </c>
      <c r="C3" s="17" t="s">
        <v>1048</v>
      </c>
      <c r="D3" s="17" t="s">
        <v>1049</v>
      </c>
    </row>
    <row r="4" customFormat="false" ht="15" hidden="false" customHeight="false" outlineLevel="0" collapsed="false">
      <c r="A4" s="18" t="s">
        <v>1050</v>
      </c>
      <c r="B4" s="18" t="s">
        <v>43</v>
      </c>
      <c r="C4" s="18" t="s">
        <v>1051</v>
      </c>
      <c r="D4" s="18" t="s">
        <v>1052</v>
      </c>
    </row>
    <row r="5" customFormat="false" ht="15" hidden="false" customHeight="false" outlineLevel="0" collapsed="false">
      <c r="A5" s="18" t="s">
        <v>1053</v>
      </c>
      <c r="B5" s="18" t="s">
        <v>1054</v>
      </c>
      <c r="C5" s="18" t="s">
        <v>1055</v>
      </c>
      <c r="D5" s="18" t="s">
        <v>1056</v>
      </c>
    </row>
    <row r="6" customFormat="false" ht="15" hidden="false" customHeight="false" outlineLevel="0" collapsed="false">
      <c r="A6" s="18" t="s">
        <v>1057</v>
      </c>
      <c r="B6" s="18" t="s">
        <v>1058</v>
      </c>
      <c r="C6" s="18" t="s">
        <v>1059</v>
      </c>
      <c r="D6" s="18" t="s">
        <v>1060</v>
      </c>
    </row>
    <row r="7" customFormat="false" ht="15" hidden="false" customHeight="false" outlineLevel="0" collapsed="false">
      <c r="A7" s="18" t="s">
        <v>1061</v>
      </c>
      <c r="B7" s="18" t="s">
        <v>1062</v>
      </c>
      <c r="C7" s="18" t="s">
        <v>1063</v>
      </c>
      <c r="D7" s="18" t="s">
        <v>1064</v>
      </c>
    </row>
    <row r="8" customFormat="false" ht="23.85" hidden="false" customHeight="false" outlineLevel="0" collapsed="false">
      <c r="A8" s="18" t="s">
        <v>1065</v>
      </c>
      <c r="B8" s="18" t="s">
        <v>1066</v>
      </c>
      <c r="C8" s="18" t="s">
        <v>1067</v>
      </c>
      <c r="D8" s="18" t="s">
        <v>1068</v>
      </c>
    </row>
    <row r="9" customFormat="false" ht="15" hidden="false" customHeight="false" outlineLevel="0" collapsed="false">
      <c r="A9" s="18" t="s">
        <v>1069</v>
      </c>
      <c r="B9" s="18" t="s">
        <v>1070</v>
      </c>
      <c r="C9" s="18" t="s">
        <v>1071</v>
      </c>
      <c r="D9" s="18" t="s">
        <v>1064</v>
      </c>
    </row>
    <row r="10" customFormat="false" ht="15" hidden="false" customHeight="false" outlineLevel="0" collapsed="false">
      <c r="A10" s="18" t="s">
        <v>1072</v>
      </c>
      <c r="B10" s="18" t="s">
        <v>1073</v>
      </c>
      <c r="C10" s="18" t="s">
        <v>1074</v>
      </c>
      <c r="D10" s="18" t="s">
        <v>1064</v>
      </c>
    </row>
    <row r="11" customFormat="false" ht="15" hidden="false" customHeight="false" outlineLevel="0" collapsed="false">
      <c r="A11" s="18" t="s">
        <v>1075</v>
      </c>
      <c r="B11" s="18" t="s">
        <v>1076</v>
      </c>
      <c r="C11" s="18" t="s">
        <v>1077</v>
      </c>
      <c r="D11" s="18" t="s">
        <v>1078</v>
      </c>
    </row>
    <row r="12" customFormat="false" ht="15" hidden="false" customHeight="false" outlineLevel="0" collapsed="false">
      <c r="A12" s="18" t="s">
        <v>1079</v>
      </c>
      <c r="B12" s="18" t="s">
        <v>1080</v>
      </c>
      <c r="C12" s="18" t="s">
        <v>1081</v>
      </c>
      <c r="D12" s="18" t="s">
        <v>97</v>
      </c>
    </row>
    <row r="13" customFormat="false" ht="15" hidden="false" customHeight="false" outlineLevel="0" collapsed="false">
      <c r="A13" s="18" t="s">
        <v>1082</v>
      </c>
      <c r="B13" s="18" t="s">
        <v>1083</v>
      </c>
      <c r="C13" s="18" t="s">
        <v>1084</v>
      </c>
      <c r="D13" s="18" t="s">
        <v>1064</v>
      </c>
    </row>
    <row r="14" customFormat="false" ht="15" hidden="false" customHeight="false" outlineLevel="0" collapsed="false">
      <c r="A14" s="18" t="s">
        <v>1085</v>
      </c>
      <c r="B14" s="18" t="s">
        <v>1086</v>
      </c>
      <c r="C14" s="18" t="s">
        <v>1087</v>
      </c>
      <c r="D14" s="18" t="s">
        <v>1088</v>
      </c>
    </row>
    <row r="15" customFormat="false" ht="23.85" hidden="false" customHeight="false" outlineLevel="0" collapsed="false">
      <c r="A15" s="18" t="s">
        <v>1089</v>
      </c>
      <c r="B15" s="18" t="s">
        <v>1090</v>
      </c>
      <c r="C15" s="18" t="s">
        <v>1091</v>
      </c>
      <c r="D15" s="18" t="s">
        <v>1092</v>
      </c>
    </row>
    <row r="16" customFormat="false" ht="23.85" hidden="false" customHeight="false" outlineLevel="0" collapsed="false">
      <c r="A16" s="18" t="s">
        <v>1093</v>
      </c>
      <c r="B16" s="18" t="s">
        <v>1094</v>
      </c>
      <c r="C16" s="18" t="s">
        <v>1095</v>
      </c>
      <c r="D16" s="18" t="s">
        <v>1096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2026-09-19T19:14:38Z</dcterms:created>
  <dc:creator>openpyxl</dc:creator>
  <dc:description/>
  <dc:language>en-US</dc:language>
  <cp:lastModifiedBy/>
  <dcterms:modified xsi:type="dcterms:W3CDTF">2026-09-19T19:14:38Z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