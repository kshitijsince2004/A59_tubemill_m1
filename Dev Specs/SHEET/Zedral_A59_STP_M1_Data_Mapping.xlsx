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Legend" sheetId="1" state="visible" r:id="rId3"/>
    <sheet name="Sheet Map" sheetId="2" state="visible" r:id="rId4"/>
    <sheet name="Field Register" sheetId="3" state="visible" r:id="rId5"/>
    <sheet name="ERP-WO Fields" sheetId="4" state="visible" r:id="rId6"/>
    <sheet name="PLC Connectivity" sheetId="5" state="visible" r:id="rId7"/>
    <sheet name="Bath Table (spec)" sheetId="6" state="visible" r:id="rId8"/>
    <sheet name="Bath History (STP-04B)" sheetId="7" state="visible" r:id="rId9"/>
    <sheet name="Codes &amp; Enums" sheetId="8" state="visible" r:id="rId10"/>
    <sheet name="Data Flow" sheetId="9" state="visible" r:id="rId11"/>
    <sheet name="Required Documen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<sst xmlns="http://schemas.openxmlformats.org/spreadsheetml/2006/main" count="687" uniqueCount="440">
  <si>
    <t xml:space="preserve">ZEDRAL  .  A-59 STP SURFACE TREATMENT  .  M1 DATA MAPPING</t>
  </si>
  <si>
    <t xml:space="preserve">Goodluck India Limited . Sikandrabad . Surface Treatment Plant (degrease / pickle / phosphate / lube for draw) . v1.0</t>
  </si>
  <si>
    <t xml:space="preserve">Purpose</t>
  </si>
  <si>
    <t xml:space="preserve">Data mapping for M1 on the STP (Surface Treatment Plant), same method as the other books. Sits between annealing and drawing; prepares the tube surface for cold draw.</t>
  </si>
  <si>
    <t xml:space="preserve">Position on route</t>
  </si>
  <si>
    <t xml:space="preserve">Tube mill -&gt; Annealing -&gt; STP (this) -&gt; Draw bench. Re-entered between draw passes to re-lubricate.</t>
  </si>
  <si>
    <t xml:space="preserve">What STP does</t>
  </si>
  <si>
    <t xml:space="preserve">Degrease, pickle (HCl), activate, phosphate, neutralize, lubricate, dry. The phosphate coat carries draw lubrication only; it is NOT a final-product criterion.</t>
  </si>
  <si>
    <t xml:space="preserve">L2 candidate</t>
  </si>
  <si>
    <t xml:space="preserve">STP is SCADA / auto: overhead crane in auto mode, dip time and bath temperature preset. Controller is Siemens ET200S (IM151) + TP700 Comfort HMI (OPC UA capable). Bath temps + dip times are AUTO.</t>
  </si>
  <si>
    <t xml:space="preserve">Split</t>
  </si>
  <si>
    <t xml:space="preserve">AUTO: bath temperatures, dip times, crane/wagon state (from ET200S / TP700). MANUAL: bath analysis (lab titration - TA/FA/pH/acid%), phosphate coating weight, bath-change history.</t>
  </si>
  <si>
    <t xml:space="preserve">Sheets</t>
  </si>
  <si>
    <t xml:space="preserve">STP Production cum Process Monitoring (STP-FT-01A) + Bath Process History Card (STP-FT-04B) + Phosphate Coating Weight (STP-FT-06).</t>
  </si>
  <si>
    <t xml:space="preserve">LEGEND . capture class</t>
  </si>
  <si>
    <t xml:space="preserve">AUTO</t>
  </si>
  <si>
    <t xml:space="preserve">Machine reports it (ET200S / TP700 - bath temp, dip time, crane). No typing.</t>
  </si>
  <si>
    <t xml:space="preserve">DERIVED</t>
  </si>
  <si>
    <t xml:space="preserve">Pre-filled from the work order (ERP). Operator confirms.</t>
  </si>
  <si>
    <t xml:space="preserve">MANUAL</t>
  </si>
  <si>
    <t xml:space="preserve">Operator / lab measures or judges it (bath analysis, coating).</t>
  </si>
  <si>
    <t xml:space="preserve">MASTER</t>
  </si>
  <si>
    <t xml:space="preserve">One-time reference / master data (bath table spec, change frequency).</t>
  </si>
  <si>
    <t xml:space="preserve">SYSTEM</t>
  </si>
  <si>
    <t xml:space="preserve">Generated by the platform (ids, rollups).</t>
  </si>
  <si>
    <t xml:space="preserve">Tabs</t>
  </si>
  <si>
    <t xml:space="preserve">Sheet Map | Field Register | ERP-WO Fields | PLC Connectivity | Bath Table (spec) | Bath History (STP-04B) | Codes &amp; Enums | Data Flow | Required Documents</t>
  </si>
  <si>
    <t xml:space="preserve">Source docs</t>
  </si>
  <si>
    <t xml:space="preserve">GLI-FT-STP-01A R3 (production cum monitoring); GLI-FT-PRD-STP-04B R2 (bath history); GLI-FT-PRD-STP-06 R0 (coating); WI GLI-WI-PRD59-STP-01 R09; bath-testing WI GLI-WI-PRD59-STP-02; A-59 PLC survey (STP ET200S).</t>
  </si>
  <si>
    <t xml:space="preserve">Note</t>
  </si>
  <si>
    <t xml:space="preserve">STP PLC connect status was 'in progress' on the survey. Shift check GLI-ST-PRD-STP-02 is referenced in the WI but not in the Formats set yet.</t>
  </si>
  <si>
    <t xml:space="preserve">Field counts</t>
  </si>
  <si>
    <t xml:space="preserve">Total fields</t>
  </si>
  <si>
    <t xml:space="preserve">SHEET MAP . STP sheets</t>
  </si>
  <si>
    <t xml:space="preserve">Zedral x Goodluck India (Sikandrabad) . STP Surface Treatment Plant (A-59 soap draw) . Module M1</t>
  </si>
  <si>
    <t xml:space="preserve">Plant sheet</t>
  </si>
  <si>
    <t xml:space="preserve">Format / doc no.</t>
  </si>
  <si>
    <t xml:space="preserve">Rev</t>
  </si>
  <si>
    <t xml:space="preserve">In hand?</t>
  </si>
  <si>
    <t xml:space="preserve">Nature</t>
  </si>
  <si>
    <t xml:space="preserve">Digital target</t>
  </si>
  <si>
    <t xml:space="preserve">Capture summary</t>
  </si>
  <si>
    <t xml:space="preserve">1. Production cum process monitoring</t>
  </si>
  <si>
    <t xml:space="preserve">GLI-FT-STP-01A (STP-FT-01A)</t>
  </si>
  <si>
    <t xml:space="preserve">R3</t>
  </si>
  <si>
    <t xml:space="preserve">Yes</t>
  </si>
  <si>
    <t xml:space="preserve">Per lot</t>
  </si>
  <si>
    <t xml:space="preserve">txn.prod_stp_lot + txn.stp_bath_analysis</t>
  </si>
  <si>
    <t xml:space="preserve">Bath temps + dip times AUTO (crane auto); bath analysis MANUAL (lab); chemical additions MANUAL</t>
  </si>
  <si>
    <t xml:space="preserve">2. Bath process history card</t>
  </si>
  <si>
    <t xml:space="preserve">GLI-FT-PRD-STP-04B (STP-FT-04B)</t>
  </si>
  <si>
    <t xml:space="preserve">R2</t>
  </si>
  <si>
    <t xml:space="preserve">Per bath (calendar)</t>
  </si>
  <si>
    <t xml:space="preserve">txn.stp_bath_history</t>
  </si>
  <si>
    <t xml:space="preserve">Change frequency MASTER; planned vs executed per day MANUAL</t>
  </si>
  <si>
    <t xml:space="preserve">3. Phosphate coating weight</t>
  </si>
  <si>
    <t xml:space="preserve">GLI-FT-PRD-STP-06 (STP-FT-06)</t>
  </si>
  <si>
    <t xml:space="preserve">R0</t>
  </si>
  <si>
    <t xml:space="preserve">Weekly / sample</t>
  </si>
  <si>
    <t xml:space="preserve">txn.stp_coating</t>
  </si>
  <si>
    <t xml:space="preserve">Coating weight g/m2 MANUAL (lab); spec 4.0-8.0</t>
  </si>
  <si>
    <t xml:space="preserve">--- supporting / reference ---</t>
  </si>
  <si>
    <t xml:space="preserve">Work Instruction (A-59)</t>
  </si>
  <si>
    <t xml:space="preserve">GLI-WI-PRD59-STP-01</t>
  </si>
  <si>
    <t xml:space="preserve">R09</t>
  </si>
  <si>
    <t xml:space="preserve">Process logic + bath table</t>
  </si>
  <si>
    <t xml:space="preserve">-</t>
  </si>
  <si>
    <t xml:space="preserve">auto crane, dip time/temp preset</t>
  </si>
  <si>
    <t xml:space="preserve">Bath testing WI</t>
  </si>
  <si>
    <t xml:space="preserve">GLI-WI-PRD59-STP-02</t>
  </si>
  <si>
    <t xml:space="preserve">Titration methods</t>
  </si>
  <si>
    <t xml:space="preserve">how bath analysis is done</t>
  </si>
  <si>
    <t xml:space="preserve">Shift check sheet</t>
  </si>
  <si>
    <t xml:space="preserve">GLI-ST-PRD-STP-02</t>
  </si>
  <si>
    <t xml:space="preserve">Referenced, not shared</t>
  </si>
  <si>
    <t xml:space="preserve">Per shift start</t>
  </si>
  <si>
    <t xml:space="preserve">txn.stp_shift_check</t>
  </si>
  <si>
    <t xml:space="preserve">gap</t>
  </si>
  <si>
    <t xml:space="preserve">FIELD REGISTER . STP production, bath analysis, coating</t>
  </si>
  <si>
    <t xml:space="preserve">Field ID</t>
  </si>
  <si>
    <t xml:space="preserve">Sheet</t>
  </si>
  <si>
    <t xml:space="preserve">Paper field</t>
  </si>
  <si>
    <t xml:space="preserve">Canonical field (DB)</t>
  </si>
  <si>
    <t xml:space="preserve">Target schema.table</t>
  </si>
  <si>
    <t xml:space="preserve">Type</t>
  </si>
  <si>
    <t xml:space="preserve">Unit</t>
  </si>
  <si>
    <t xml:space="preserve">Class</t>
  </si>
  <si>
    <t xml:space="preserve">Source</t>
  </si>
  <si>
    <t xml:space="preserve">Req</t>
  </si>
  <si>
    <t xml:space="preserve">Validation / spec</t>
  </si>
  <si>
    <t xml:space="preserve">Notes</t>
  </si>
  <si>
    <t xml:space="preserve">STP-01</t>
  </si>
  <si>
    <t xml:space="preserve">Lot header</t>
  </si>
  <si>
    <t xml:space="preserve">Lot / run id</t>
  </si>
  <si>
    <t xml:space="preserve">lot_no</t>
  </si>
  <si>
    <t xml:space="preserve">txn.prod_stp_lot</t>
  </si>
  <si>
    <t xml:space="preserve">text</t>
  </si>
  <si>
    <t xml:space="preserve">STP + ts</t>
  </si>
  <si>
    <t xml:space="preserve">Y</t>
  </si>
  <si>
    <t xml:space="preserve">unique per tenant</t>
  </si>
  <si>
    <t xml:space="preserve">batch on crane</t>
  </si>
  <si>
    <t xml:space="preserve">STP-02</t>
  </si>
  <si>
    <t xml:space="preserve">Customer</t>
  </si>
  <si>
    <t xml:space="preserve">customer_code</t>
  </si>
  <si>
    <t xml:space="preserve">work order</t>
  </si>
  <si>
    <t xml:space="preserve">N</t>
  </si>
  <si>
    <t xml:space="preserve">FK master.customer</t>
  </si>
  <si>
    <t xml:space="preserve">STP-03</t>
  </si>
  <si>
    <t xml:space="preserve">Grade</t>
  </si>
  <si>
    <t xml:space="preserve">grade_code</t>
  </si>
  <si>
    <t xml:space="preserve">FK master.grade</t>
  </si>
  <si>
    <t xml:space="preserve">STP-04</t>
  </si>
  <si>
    <t xml:space="preserve">OD x THK x Len</t>
  </si>
  <si>
    <t xml:space="preserve">size</t>
  </si>
  <si>
    <t xml:space="preserve">json</t>
  </si>
  <si>
    <t xml:space="preserve">mm</t>
  </si>
  <si>
    <t xml:space="preserve">STP-05</t>
  </si>
  <si>
    <t xml:space="preserve">Work Order No</t>
  </si>
  <si>
    <t xml:space="preserve">work_order_no</t>
  </si>
  <si>
    <t xml:space="preserve">work order (BC)</t>
  </si>
  <si>
    <t xml:space="preserve">STP-06</t>
  </si>
  <si>
    <t xml:space="preserve">Qty (No / MT)</t>
  </si>
  <si>
    <t xml:space="preserve">qty_no / qty_mt</t>
  </si>
  <si>
    <t xml:space="preserve">number</t>
  </si>
  <si>
    <t xml:space="preserve">pcs,MT</t>
  </si>
  <si>
    <t xml:space="preserve">DERIVED/MANUAL</t>
  </si>
  <si>
    <t xml:space="preserve">work order / operator</t>
  </si>
  <si>
    <t xml:space="preserve">STP-07</t>
  </si>
  <si>
    <t xml:space="preserve">1 Process monitor</t>
  </si>
  <si>
    <t xml:space="preserve">Degreasing temp + time</t>
  </si>
  <si>
    <t xml:space="preserve">degrease_temp_c / time_min</t>
  </si>
  <si>
    <t xml:space="preserve">C,min</t>
  </si>
  <si>
    <t xml:space="preserve">bath sensor / crane auto</t>
  </si>
  <si>
    <t xml:space="preserve">75-85 C, 10-15 min</t>
  </si>
  <si>
    <t xml:space="preserve">G-390</t>
  </si>
  <si>
    <t xml:space="preserve">STP-08</t>
  </si>
  <si>
    <t xml:space="preserve">De-scaling / pickling time</t>
  </si>
  <si>
    <t xml:space="preserve">pickle_time_min</t>
  </si>
  <si>
    <t xml:space="preserve">min</t>
  </si>
  <si>
    <t xml:space="preserve">crane auto</t>
  </si>
  <si>
    <t xml:space="preserve">8-13 min</t>
  </si>
  <si>
    <t xml:space="preserve">HCl tanks</t>
  </si>
  <si>
    <t xml:space="preserve">STP-09</t>
  </si>
  <si>
    <t xml:space="preserve">Phosphating temp + time</t>
  </si>
  <si>
    <t xml:space="preserve">phos_temp_c / time_min</t>
  </si>
  <si>
    <t xml:space="preserve">bath sensor / crane</t>
  </si>
  <si>
    <t xml:space="preserve">65-75 C, 6-11 min</t>
  </si>
  <si>
    <t xml:space="preserve">3510E/3510A</t>
  </si>
  <si>
    <t xml:space="preserve">STP-10</t>
  </si>
  <si>
    <t xml:space="preserve">Neutralizer temp / dip</t>
  </si>
  <si>
    <t xml:space="preserve">neut_temp_c</t>
  </si>
  <si>
    <t xml:space="preserve">C</t>
  </si>
  <si>
    <t xml:space="preserve">bath / crane</t>
  </si>
  <si>
    <t xml:space="preserve">50-60 C, 1 flash dip</t>
  </si>
  <si>
    <t xml:space="preserve">STP-11</t>
  </si>
  <si>
    <t xml:space="preserve">Lubrication temp + time</t>
  </si>
  <si>
    <t xml:space="preserve">lube_temp_c / time_min</t>
  </si>
  <si>
    <t xml:space="preserve">70-75 C, 7-12 min</t>
  </si>
  <si>
    <t xml:space="preserve">G-3005</t>
  </si>
  <si>
    <t xml:space="preserve">STP-12</t>
  </si>
  <si>
    <t xml:space="preserve">Dryer temp + time</t>
  </si>
  <si>
    <t xml:space="preserve">dryer_temp_c / time_min</t>
  </si>
  <si>
    <t xml:space="preserve">dryer / crane</t>
  </si>
  <si>
    <t xml:space="preserve">80-120 C, 12-17 min</t>
  </si>
  <si>
    <t xml:space="preserve">Thermopac</t>
  </si>
  <si>
    <t xml:space="preserve">STP-13</t>
  </si>
  <si>
    <t xml:space="preserve">Reactive oil dip time</t>
  </si>
  <si>
    <t xml:space="preserve">reactive_oil_time_min</t>
  </si>
  <si>
    <t xml:space="preserve">crane</t>
  </si>
  <si>
    <t xml:space="preserve">ambient, 8-10 min</t>
  </si>
  <si>
    <t xml:space="preserve">Bondrite (if oil route)</t>
  </si>
  <si>
    <t xml:space="preserve">STP-14</t>
  </si>
  <si>
    <t xml:space="preserve">Surface finish</t>
  </si>
  <si>
    <t xml:space="preserve">surface_finish</t>
  </si>
  <si>
    <t xml:space="preserve">operator</t>
  </si>
  <si>
    <t xml:space="preserve">visual</t>
  </si>
  <si>
    <t xml:space="preserve">STP-15</t>
  </si>
  <si>
    <t xml:space="preserve">Crane / wagon state</t>
  </si>
  <si>
    <t xml:space="preserve">crane_state</t>
  </si>
  <si>
    <t xml:space="preserve">plc.sample</t>
  </si>
  <si>
    <t xml:space="preserve">ET200S / TP700</t>
  </si>
  <si>
    <t xml:space="preserve">auto-mode sequence</t>
  </si>
  <si>
    <t xml:space="preserve">STP-16</t>
  </si>
  <si>
    <t xml:space="preserve">1 Bath analysis</t>
  </si>
  <si>
    <t xml:space="preserve">Degreasing TA</t>
  </si>
  <si>
    <t xml:space="preserve">ta_degrease_ml</t>
  </si>
  <si>
    <t xml:space="preserve">txn.stp_bath_analysis</t>
  </si>
  <si>
    <t xml:space="preserve">ml</t>
  </si>
  <si>
    <t xml:space="preserve">lab titration</t>
  </si>
  <si>
    <t xml:space="preserve">78-90 ml</t>
  </si>
  <si>
    <t xml:space="preserve">STP-17</t>
  </si>
  <si>
    <t xml:space="preserve">HCl pickling: HCl con</t>
  </si>
  <si>
    <t xml:space="preserve">hcl_con_pct</t>
  </si>
  <si>
    <t xml:space="preserve">%</t>
  </si>
  <si>
    <t xml:space="preserve">lab</t>
  </si>
  <si>
    <t xml:space="preserve">6-22 %</t>
  </si>
  <si>
    <t xml:space="preserve">HCl-30% min top-up</t>
  </si>
  <si>
    <t xml:space="preserve">STP-18</t>
  </si>
  <si>
    <t xml:space="preserve">HCl pickling: Fe content</t>
  </si>
  <si>
    <t xml:space="preserve">fe_pct</t>
  </si>
  <si>
    <t xml:space="preserve">10 % max</t>
  </si>
  <si>
    <t xml:space="preserve">STP-19</t>
  </si>
  <si>
    <t xml:space="preserve">Activation pH</t>
  </si>
  <si>
    <t xml:space="preserve">activation_ph</t>
  </si>
  <si>
    <t xml:space="preserve">pH</t>
  </si>
  <si>
    <t xml:space="preserve">7-8</t>
  </si>
  <si>
    <t xml:space="preserve">GV-6521</t>
  </si>
  <si>
    <t xml:space="preserve">STP-20</t>
  </si>
  <si>
    <t xml:space="preserve">Phosphating TA / FA / ACC / OXTA</t>
  </si>
  <si>
    <t xml:space="preserve">phos_ta/fa/acc/oxta</t>
  </si>
  <si>
    <t xml:space="preserve">TA 32-38, FA 4-6, ACC 3-5, OXTA 18-22</t>
  </si>
  <si>
    <t xml:space="preserve">3510E/3510A/GB-14</t>
  </si>
  <si>
    <t xml:space="preserve">STP-21</t>
  </si>
  <si>
    <t xml:space="preserve">Neutralizer pH</t>
  </si>
  <si>
    <t xml:space="preserve">neut_ph</t>
  </si>
  <si>
    <t xml:space="preserve">8-10</t>
  </si>
  <si>
    <t xml:space="preserve">G-21</t>
  </si>
  <si>
    <t xml:space="preserve">STP-22</t>
  </si>
  <si>
    <t xml:space="preserve">Lube con / FA / pH</t>
  </si>
  <si>
    <t xml:space="preserve">lube_con/fa/ph</t>
  </si>
  <si>
    <t xml:space="preserve">%,pH</t>
  </si>
  <si>
    <t xml:space="preserve">con 4-6%, FA 0-1.0%, pH 8-10</t>
  </si>
  <si>
    <t xml:space="preserve">STP-23</t>
  </si>
  <si>
    <t xml:space="preserve">Water rinse pH (1-4)</t>
  </si>
  <si>
    <t xml:space="preserve">rinse_ph</t>
  </si>
  <si>
    <t xml:space="preserve">1 deg 7-10, 2 acid 2-5, 3 acid 5-7, 4 phos 5-8</t>
  </si>
  <si>
    <t xml:space="preserve">STP-24</t>
  </si>
  <si>
    <t xml:space="preserve">Oil bath water content / acid no</t>
  </si>
  <si>
    <t xml:space="preserve">oil_water_pct / acid_no</t>
  </si>
  <si>
    <t xml:space="preserve">%,-</t>
  </si>
  <si>
    <t xml:space="preserve">water 1-2 %, acid no 100-200</t>
  </si>
  <si>
    <t xml:space="preserve">Bondrite LR 06021</t>
  </si>
  <si>
    <t xml:space="preserve">STP-25</t>
  </si>
  <si>
    <t xml:space="preserve">Chemical addition (name/qty/batch)</t>
  </si>
  <si>
    <t xml:space="preserve">chem_add</t>
  </si>
  <si>
    <t xml:space="preserve">name, quantity, batch no/date</t>
  </si>
  <si>
    <t xml:space="preserve">STP-26</t>
  </si>
  <si>
    <t xml:space="preserve">Break down &amp; remarks</t>
  </si>
  <si>
    <t xml:space="preserve">breakdown_remark</t>
  </si>
  <si>
    <t xml:space="preserve">STP-27</t>
  </si>
  <si>
    <t xml:space="preserve">3 Coating</t>
  </si>
  <si>
    <t xml:space="preserve">Phosphated coating weight</t>
  </si>
  <si>
    <t xml:space="preserve">coating_gm2</t>
  </si>
  <si>
    <t xml:space="preserve">g/m2</t>
  </si>
  <si>
    <t xml:space="preserve">4.0-8.0 g/m2</t>
  </si>
  <si>
    <t xml:space="preserve">2 samples, weekly (STP-06)</t>
  </si>
  <si>
    <t xml:space="preserve">STP-28</t>
  </si>
  <si>
    <t xml:space="preserve">2 Bath history</t>
  </si>
  <si>
    <t xml:space="preserve">Bath change frequency + execution</t>
  </si>
  <si>
    <t xml:space="preserve">bath_change</t>
  </si>
  <si>
    <t xml:space="preserve">MASTER/MANUAL</t>
  </si>
  <si>
    <t xml:space="preserve">schedule / operator</t>
  </si>
  <si>
    <t xml:space="preserve">per Bath History tab</t>
  </si>
  <si>
    <t xml:space="preserve">planned vs executed calendar</t>
  </si>
  <si>
    <t xml:space="preserve">WHAT COMES FROM ERP / WORK ORDER . Dynamics 365 Business Central</t>
  </si>
  <si>
    <t xml:space="preserve">ERP / WO field</t>
  </si>
  <si>
    <t xml:space="preserve">Canonical field</t>
  </si>
  <si>
    <t xml:space="preserve">Target table</t>
  </si>
  <si>
    <t xml:space="preserve">Read now (plan)</t>
  </si>
  <si>
    <t xml:space="preserve">Write back (later)</t>
  </si>
  <si>
    <t xml:space="preserve">Work order number</t>
  </si>
  <si>
    <t xml:space="preserve">Size (OD x THK x Len)</t>
  </si>
  <si>
    <t xml:space="preserve">Quantity (No / MT)</t>
  </si>
  <si>
    <t xml:space="preserve">Incoming tube ref (from furnace)</t>
  </si>
  <si>
    <t xml:space="preserve">input_tube_ref</t>
  </si>
  <si>
    <t xml:space="preserve">route card genealogy</t>
  </si>
  <si>
    <t xml:space="preserve">Route / next operation (draw)</t>
  </si>
  <si>
    <t xml:space="preserve">route_ref</t>
  </si>
  <si>
    <t xml:space="preserve">(genealogy)</t>
  </si>
  <si>
    <t xml:space="preserve">Treated qty (actuals)</t>
  </si>
  <si>
    <t xml:space="preserve">qty_mt</t>
  </si>
  <si>
    <t xml:space="preserve">write-back phase</t>
  </si>
  <si>
    <t xml:space="preserve">PLC CONNECTIVITY . STP (ET200S + TP700 Comfort)</t>
  </si>
  <si>
    <t xml:space="preserve">Machine</t>
  </si>
  <si>
    <t xml:space="preserve">Controller / PLC</t>
  </si>
  <si>
    <t xml:space="preserve">Model</t>
  </si>
  <si>
    <t xml:space="preserve">Comms</t>
  </si>
  <si>
    <t xml:space="preserve">Read protocol / driver</t>
  </si>
  <si>
    <t xml:space="preserve">Ease</t>
  </si>
  <si>
    <t xml:space="preserve">Status</t>
  </si>
  <si>
    <t xml:space="preserve">What it yields</t>
  </si>
  <si>
    <t xml:space="preserve">STP line</t>
  </si>
  <si>
    <t xml:space="preserve">Siemens SIMATIC ET 200S (IM151 CPU)</t>
  </si>
  <si>
    <t xml:space="preserve">+ HMI TP700 Comfort (6AV2 124-0GC01-0AX0)</t>
  </si>
  <si>
    <t xml:space="preserve">Ethernet + Siemens SCADA</t>
  </si>
  <si>
    <t xml:space="preserve">S7comm on CPU (Snap7) OR OPC UA from TP700 Comfort panel</t>
  </si>
  <si>
    <t xml:space="preserve">Easy</t>
  </si>
  <si>
    <t xml:space="preserve">In progress (survey)</t>
  </si>
  <si>
    <t xml:space="preserve">tank temps, dip times, wagon/crane state</t>
  </si>
  <si>
    <t xml:space="preserve">--- key point ---</t>
  </si>
  <si>
    <t xml:space="preserve">STP crane runs in auto mode with dip time and bath temperature preset, so bath temps + dip times are AUTO from the ET200S / TP700 Comfort (OPC UA). Bath chemistry (titration) and coating weight stay MANUAL lab work.</t>
  </si>
  <si>
    <t xml:space="preserve">BATH TABLE . STP-01A spec temps, times, chemicals, analysis</t>
  </si>
  <si>
    <t xml:space="preserve">Stage / bath</t>
  </si>
  <si>
    <t xml:space="preserve">Spec temp</t>
  </si>
  <si>
    <t xml:space="preserve">Spec time</t>
  </si>
  <si>
    <t xml:space="preserve">Chemical</t>
  </si>
  <si>
    <t xml:space="preserve">Bath analysis (spec)</t>
  </si>
  <si>
    <t xml:space="preserve">Coolant</t>
  </si>
  <si>
    <t xml:space="preserve">Degreasing</t>
  </si>
  <si>
    <t xml:space="preserve">75-85 C</t>
  </si>
  <si>
    <t xml:space="preserve">10-15 min</t>
  </si>
  <si>
    <t xml:space="preserve">GARDOCLEAN G-390</t>
  </si>
  <si>
    <t xml:space="preserve">TA 78-90 ml</t>
  </si>
  <si>
    <t xml:space="preserve">De-scaling / HCl pickling</t>
  </si>
  <si>
    <t xml:space="preserve">ambient</t>
  </si>
  <si>
    <t xml:space="preserve">HCl</t>
  </si>
  <si>
    <t xml:space="preserve">HCl con 6-22 %; Fe 10 % max; top-up HCl 30% min</t>
  </si>
  <si>
    <t xml:space="preserve">Water rinse (1-4)</t>
  </si>
  <si>
    <t xml:space="preserve">water</t>
  </si>
  <si>
    <t xml:space="preserve">1 deg 7-10 pH; 2 acid 2-5; 3 acid 5-7; 4 phos 5-8 pH</t>
  </si>
  <si>
    <t xml:space="preserve">Activation</t>
  </si>
  <si>
    <t xml:space="preserve">GARDOCLEAN-V 6521</t>
  </si>
  <si>
    <t xml:space="preserve">pH 7-8</t>
  </si>
  <si>
    <t xml:space="preserve">Phosphating</t>
  </si>
  <si>
    <t xml:space="preserve">65-75 C</t>
  </si>
  <si>
    <t xml:space="preserve">6-11 min</t>
  </si>
  <si>
    <t xml:space="preserve">3510E / 3510A (GB-14)</t>
  </si>
  <si>
    <t xml:space="preserve">TA 32-38; FA 4-6; ACC 3-5; OXTA 18-22 ml</t>
  </si>
  <si>
    <t xml:space="preserve">Neutralizer</t>
  </si>
  <si>
    <t xml:space="preserve">50-60 C</t>
  </si>
  <si>
    <t xml:space="preserve">1 flash dip</t>
  </si>
  <si>
    <t xml:space="preserve">GARDOCLEAN 21</t>
  </si>
  <si>
    <t xml:space="preserve">pH 8-10</t>
  </si>
  <si>
    <t xml:space="preserve">Lubrication</t>
  </si>
  <si>
    <t xml:space="preserve">70-75 C</t>
  </si>
  <si>
    <t xml:space="preserve">7-12 min</t>
  </si>
  <si>
    <t xml:space="preserve">GARDOLUBE 3005</t>
  </si>
  <si>
    <t xml:space="preserve">con 4-6 %; FA 0-1.0 %; pH 8-10</t>
  </si>
  <si>
    <t xml:space="preserve">Dryer (Thermopac)</t>
  </si>
  <si>
    <t xml:space="preserve">80-120 C</t>
  </si>
  <si>
    <t xml:space="preserve">12-17 min</t>
  </si>
  <si>
    <t xml:space="preserve">Reactive oil (oil route)</t>
  </si>
  <si>
    <t xml:space="preserve">8-10 min</t>
  </si>
  <si>
    <t xml:space="preserve">water 1-2 %; acid no 100-200</t>
  </si>
  <si>
    <t xml:space="preserve">Neutralizer (oil route)</t>
  </si>
  <si>
    <t xml:space="preserve">Gardoline-R 1683</t>
  </si>
  <si>
    <t xml:space="preserve">pH 6.5-7.5</t>
  </si>
  <si>
    <t xml:space="preserve">Phosphate coating (STP-06)</t>
  </si>
  <si>
    <t xml:space="preserve">weekly</t>
  </si>
  <si>
    <t xml:space="preserve">4.0-8.0 g/m2 (2 samples)</t>
  </si>
  <si>
    <t xml:space="preserve">--- note ---</t>
  </si>
  <si>
    <t xml:space="preserve">Phosphate coat carries draw lubrication only; not a final-product criterion. A-59 runs the soap/phosphate draw route (105A); oil draw (105B) is A-51 only.</t>
  </si>
  <si>
    <t xml:space="preserve">BATH PROCESS HISTORY . STP-04B change frequencies (planned vs executed)</t>
  </si>
  <si>
    <t xml:space="preserve">Bath</t>
  </si>
  <si>
    <t xml:space="preserve">Min. change frequency</t>
  </si>
  <si>
    <t xml:space="preserve">Capture</t>
  </si>
  <si>
    <t xml:space="preserve">1 month +/- 10 days</t>
  </si>
  <si>
    <t xml:space="preserve">planned vs executed calendar (STP-04B)</t>
  </si>
  <si>
    <t xml:space="preserve">Water rinse</t>
  </si>
  <si>
    <t xml:space="preserve">10 days +/- 3 days</t>
  </si>
  <si>
    <t xml:space="preserve">Pickling-1 / Pickling-2</t>
  </si>
  <si>
    <t xml:space="preserve">10 days +/- 5 days</t>
  </si>
  <si>
    <t xml:space="preserve">Water rinse-2 HCL-1 / rinse-3 HCL-2</t>
  </si>
  <si>
    <t xml:space="preserve">2 days +/- 1 day</t>
  </si>
  <si>
    <t xml:space="preserve">most frequent</t>
  </si>
  <si>
    <t xml:space="preserve">Phosphate</t>
  </si>
  <si>
    <t xml:space="preserve">Water rinse-Phosphate</t>
  </si>
  <si>
    <t xml:space="preserve">Lube</t>
  </si>
  <si>
    <t xml:space="preserve">30 days +/- 10 days</t>
  </si>
  <si>
    <t xml:space="preserve">Reactive oil (oil STP)</t>
  </si>
  <si>
    <t xml:space="preserve">clean / filter at 100 MT</t>
  </si>
  <si>
    <t xml:space="preserve">CODES, ENUMS &amp; LISTS</t>
  </si>
  <si>
    <t xml:space="preserve">Group</t>
  </si>
  <si>
    <t xml:space="preserve">Value</t>
  </si>
  <si>
    <t xml:space="preserve">STP route (A-59)</t>
  </si>
  <si>
    <t xml:space="preserve">Soap / phosphate draw (105A)</t>
  </si>
  <si>
    <t xml:space="preserve">oil draw 105B is A-51 only</t>
  </si>
  <si>
    <t xml:space="preserve">Bath sequence</t>
  </si>
  <si>
    <t xml:space="preserve">Degrease -&gt; HCl pickle -&gt; rinse -&gt; activate -&gt; phosphate -&gt; neutralize -&gt; lube -&gt; dry</t>
  </si>
  <si>
    <t xml:space="preserve">+ reactive oil on oil route</t>
  </si>
  <si>
    <t xml:space="preserve">Chemicals</t>
  </si>
  <si>
    <t xml:space="preserve">G-390, GV-6521, 3510E/3510A, GB-14, G-21, G-3005, Bondrite LR 06021, Gardoline-R 1683</t>
  </si>
  <si>
    <t xml:space="preserve">supplier: Chemetall/Gardo</t>
  </si>
  <si>
    <t xml:space="preserve">Coating spec</t>
  </si>
  <si>
    <t xml:space="preserve">4.0-8.0 g/m2 phosphate</t>
  </si>
  <si>
    <t xml:space="preserve">weekly, 2 samples</t>
  </si>
  <si>
    <t xml:space="preserve">bath temp + dip time AUTO; analysis + coating MANUAL (lab)</t>
  </si>
  <si>
    <t xml:space="preserve">Record status</t>
  </si>
  <si>
    <t xml:space="preserve">DRAFT | SUBMITTED | APPROVED | LOCKED</t>
  </si>
  <si>
    <t xml:space="preserve">capture lifecycle</t>
  </si>
  <si>
    <t xml:space="preserve">END-TO-END DATA FLOW . STP</t>
  </si>
  <si>
    <t xml:space="preserve">Step</t>
  </si>
  <si>
    <t xml:space="preserve">To</t>
  </si>
  <si>
    <t xml:space="preserve">What moves</t>
  </si>
  <si>
    <t xml:space="preserve">1 Plan</t>
  </si>
  <si>
    <t xml:space="preserve">Dynamics 365 BC (ERP)</t>
  </si>
  <si>
    <t xml:space="preserve">WO, customer, grade, size, qty</t>
  </si>
  <si>
    <t xml:space="preserve">2 Machine</t>
  </si>
  <si>
    <t xml:space="preserve">STP crane / ET200S / TP700 (auto mode)</t>
  </si>
  <si>
    <t xml:space="preserve">Collector -&gt; Server</t>
  </si>
  <si>
    <t xml:space="preserve">bath temps + dip times + crane state AUTO (preset recipe)</t>
  </si>
  <si>
    <t xml:space="preserve">3 Lab</t>
  </si>
  <si>
    <t xml:space="preserve">STP lab (titration)</t>
  </si>
  <si>
    <t xml:space="preserve">Tablet / server</t>
  </si>
  <si>
    <t xml:space="preserve">bath analysis: TA/FA/pH/HCl%/Fe%/coating - MANUAL, per bath-testing WI</t>
  </si>
  <si>
    <t xml:space="preserve">4 Confirm</t>
  </si>
  <si>
    <t xml:space="preserve">Server (live API)</t>
  </si>
  <si>
    <t xml:space="preserve">Tablet</t>
  </si>
  <si>
    <t xml:space="preserve">confirm lot, surface finish, chemical additions; band-check bath temp/time vs recipe; break-down note</t>
  </si>
  <si>
    <t xml:space="preserve">5 Assemble</t>
  </si>
  <si>
    <t xml:space="preserve">Server rollups</t>
  </si>
  <si>
    <t xml:space="preserve">Sheets (views)</t>
  </si>
  <si>
    <t xml:space="preserve">STP-01A monitoring + bath history + coating assemble</t>
  </si>
  <si>
    <t xml:space="preserve">6 Write-back (later)</t>
  </si>
  <si>
    <t xml:space="preserve">Server</t>
  </si>
  <si>
    <t xml:space="preserve">Dynamics 365 BC + next process</t>
  </si>
  <si>
    <t xml:space="preserve">treated qty; release to draw bench</t>
  </si>
  <si>
    <t xml:space="preserve">Phosphate is for draw lubrication only. STP is re-entered between draw passes to re-lubricate.</t>
  </si>
  <si>
    <t xml:space="preserve">REQUIRED DOCUMENTS &amp; OPEN GAPS</t>
  </si>
  <si>
    <t xml:space="preserve">Ref</t>
  </si>
  <si>
    <t xml:space="preserve">Document / item needed</t>
  </si>
  <si>
    <t xml:space="preserve">Why it matters</t>
  </si>
  <si>
    <t xml:space="preserve">Status / owner</t>
  </si>
  <si>
    <t xml:space="preserve">D-1</t>
  </si>
  <si>
    <t xml:space="preserve">GLI-FT-STP-01A Production cum Monitoring</t>
  </si>
  <si>
    <t xml:space="preserve">Sheet 1 (bath temps/times + analysis)</t>
  </si>
  <si>
    <t xml:space="preserve">RESOLVED - received (R3)</t>
  </si>
  <si>
    <t xml:space="preserve">D-2</t>
  </si>
  <si>
    <t xml:space="preserve">GLI-FT-PRD-STP-04B Bath History Card</t>
  </si>
  <si>
    <t xml:space="preserve">Sheet 2 (change frequency)</t>
  </si>
  <si>
    <t xml:space="preserve">RESOLVED - received (R2)</t>
  </si>
  <si>
    <t xml:space="preserve">D-3</t>
  </si>
  <si>
    <t xml:space="preserve">GLI-FT-PRD-STP-06 Coating Weight</t>
  </si>
  <si>
    <t xml:space="preserve">Sheet 3 (phosphate g/m2)</t>
  </si>
  <si>
    <t xml:space="preserve">RESOLVED - received (R0)</t>
  </si>
  <si>
    <t xml:space="preserve">D-4</t>
  </si>
  <si>
    <t xml:space="preserve">GLI-ST-PRD-STP-02 shift check sheet</t>
  </si>
  <si>
    <t xml:space="preserve">Start-of-shift STP checks</t>
  </si>
  <si>
    <t xml:space="preserve">Pending - Goodluck</t>
  </si>
  <si>
    <t xml:space="preserve">D-5</t>
  </si>
  <si>
    <t xml:space="preserve">STP ET200S / TP700 tag map (O-2)</t>
  </si>
  <si>
    <t xml:space="preserve">Which bath-temp/dip-time/crane tags; OPC UA on TP700</t>
  </si>
  <si>
    <t xml:space="preserve">Pending - tag survey (connect in progress)</t>
  </si>
  <si>
    <t xml:space="preserve">D-6</t>
  </si>
  <si>
    <t xml:space="preserve">GLI-WI-PRD59-STP-02 bath-testing methods</t>
  </si>
  <si>
    <t xml:space="preserve">How each titration is done (already have doc)</t>
  </si>
  <si>
    <t xml:space="preserve">In hand</t>
  </si>
  <si>
    <t xml:space="preserve">D-7</t>
  </si>
  <si>
    <t xml:space="preserve">Chemical spec sheets (G-390, GV-6521, 3510E/A, G-21, G-3005, Bondrite)</t>
  </si>
  <si>
    <t xml:space="preserve">Bath make-up + acceptance ranges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</si>
</sst>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0"/>
      <color rgb="FF14532D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1"/>
      <color rgb="FF14532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3D20"/>
        <bgColor rgb="FF14532D"/>
      </patternFill>
    </fill>
    <fill>
      <patternFill patternType="solid">
        <fgColor rgb="FFD9E7DC"/>
        <bgColor rgb="FFD6EAD6"/>
      </patternFill>
    </fill>
    <fill>
      <patternFill patternType="solid">
        <fgColor rgb="FFD6EAD6"/>
        <bgColor rgb="FFD9E7DC"/>
      </patternFill>
    </fill>
    <fill>
      <patternFill patternType="solid">
        <fgColor rgb="FFD6E3F0"/>
        <bgColor rgb="FFD9E7DC"/>
      </patternFill>
    </fill>
    <fill>
      <patternFill patternType="solid">
        <fgColor rgb="FFFCE7C9"/>
        <bgColor rgb="FFE4E4E7"/>
      </patternFill>
    </fill>
    <fill>
      <patternFill patternType="solid">
        <fgColor rgb="FFE4E4E7"/>
        <bgColor rgb="FFD9E7DC"/>
      </patternFill>
    </fill>
    <fill>
      <patternFill patternType="solid">
        <fgColor rgb="FFEADCF2"/>
        <bgColor rgb="FFE4E4E7"/>
      </patternFill>
    </fill>
    <fill>
      <patternFill patternType="solid">
        <fgColor rgb="FF14532D"/>
        <bgColor rgb="FF0F3D2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7C9"/>
      <rgbColor rgb="FFD9E7DC"/>
      <rgbColor rgb="FF660066"/>
      <rgbColor rgb="FFFF8080"/>
      <rgbColor rgb="FF0066CC"/>
      <rgbColor rgb="FFD6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4E7"/>
      <rgbColor rgb="FFD6EAD6"/>
      <rgbColor rgb="FFFFFF99"/>
      <rgbColor rgb="FF99CCFF"/>
      <rgbColor rgb="FFFF99CC"/>
      <rgbColor rgb="FFCC99FF"/>
      <rgbColor rgb="FFEADCF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532D"/>
      <rgbColor rgb="FF339966"/>
      <rgbColor rgb="FF0F3D20"/>
      <rgbColor rgb="FF1A1A1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30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23.85" hidden="false" customHeight="false" outlineLevel="0" collapsed="false">
      <c r="A6" s="3" t="s">
        <v>6</v>
      </c>
      <c r="B6" s="4" t="s">
        <v>7</v>
      </c>
    </row>
    <row r="7" customFormat="false" ht="23.85" hidden="false" customHeight="false" outlineLevel="0" collapsed="false">
      <c r="A7" s="3" t="s">
        <v>8</v>
      </c>
      <c r="B7" s="4" t="s">
        <v>9</v>
      </c>
    </row>
    <row r="8" customFormat="false" ht="23.85" hidden="false" customHeight="false" outlineLevel="0" collapsed="false">
      <c r="A8" s="3" t="s">
        <v>10</v>
      </c>
      <c r="B8" s="4" t="s">
        <v>11</v>
      </c>
    </row>
    <row r="9" customFormat="false" ht="23.8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5"/>
      <c r="B10" s="4"/>
    </row>
    <row r="11" customFormat="false" ht="15" hidden="false" customHeight="false" outlineLevel="0" collapsed="false">
      <c r="A11" s="6" t="s">
        <v>14</v>
      </c>
      <c r="B11" s="4"/>
    </row>
    <row r="12" customFormat="false" ht="15" hidden="false" customHeight="false" outlineLevel="0" collapsed="false">
      <c r="A12" s="7" t="s">
        <v>15</v>
      </c>
      <c r="B12" s="4" t="s">
        <v>16</v>
      </c>
    </row>
    <row r="13" customFormat="false" ht="15" hidden="false" customHeight="false" outlineLevel="0" collapsed="false">
      <c r="A13" s="8" t="s">
        <v>17</v>
      </c>
      <c r="B13" s="4" t="s">
        <v>18</v>
      </c>
    </row>
    <row r="14" customFormat="false" ht="15" hidden="false" customHeight="false" outlineLevel="0" collapsed="false">
      <c r="A14" s="9" t="s">
        <v>19</v>
      </c>
      <c r="B14" s="4" t="s">
        <v>20</v>
      </c>
    </row>
    <row r="15" customFormat="false" ht="15" hidden="false" customHeight="false" outlineLevel="0" collapsed="false">
      <c r="A15" s="10" t="s">
        <v>21</v>
      </c>
      <c r="B15" s="4" t="s">
        <v>22</v>
      </c>
    </row>
    <row r="16" customFormat="false" ht="15" hidden="false" customHeight="false" outlineLevel="0" collapsed="false">
      <c r="A16" s="11" t="s">
        <v>23</v>
      </c>
      <c r="B16" s="4" t="s">
        <v>24</v>
      </c>
    </row>
    <row r="17" customFormat="false" ht="15" hidden="false" customHeight="false" outlineLevel="0" collapsed="false">
      <c r="A17" s="5"/>
      <c r="B17" s="4"/>
    </row>
    <row r="18" customFormat="false" ht="23.85" hidden="false" customHeight="false" outlineLevel="0" collapsed="false">
      <c r="A18" s="3" t="s">
        <v>25</v>
      </c>
      <c r="B18" s="4" t="s">
        <v>26</v>
      </c>
    </row>
    <row r="19" customFormat="false" ht="23.85" hidden="false" customHeight="false" outlineLevel="0" collapsed="false">
      <c r="A19" s="3" t="s">
        <v>27</v>
      </c>
      <c r="B19" s="4" t="s">
        <v>28</v>
      </c>
    </row>
    <row r="20" customFormat="false" ht="23.85" hidden="false" customHeight="false" outlineLevel="0" collapsed="false">
      <c r="A20" s="3" t="s">
        <v>29</v>
      </c>
      <c r="B20" s="4" t="s">
        <v>30</v>
      </c>
    </row>
    <row r="22" customFormat="false" ht="15" hidden="false" customHeight="false" outlineLevel="0" collapsed="false">
      <c r="A22" s="12" t="s">
        <v>31</v>
      </c>
    </row>
    <row r="23" customFormat="false" ht="15" hidden="false" customHeight="false" outlineLevel="0" collapsed="false">
      <c r="A23" s="13" t="s">
        <v>15</v>
      </c>
      <c r="B23" s="13" t="n">
        <f aca="false">COUNTIF('Field Register'!$H$4:$H$31,"*AUTO*")</f>
        <v>8</v>
      </c>
    </row>
    <row r="24" customFormat="false" ht="15" hidden="false" customHeight="false" outlineLevel="0" collapsed="false">
      <c r="A24" s="13" t="s">
        <v>17</v>
      </c>
      <c r="B24" s="13" t="n">
        <f aca="false">COUNTIF('Field Register'!$H$4:$H$31,"*DERIVED*")</f>
        <v>5</v>
      </c>
    </row>
    <row r="25" customFormat="false" ht="15" hidden="false" customHeight="false" outlineLevel="0" collapsed="false">
      <c r="A25" s="13" t="s">
        <v>19</v>
      </c>
      <c r="B25" s="13" t="n">
        <f aca="false">COUNTIF('Field Register'!$H$4:$H$31,"*MANUAL*")</f>
        <v>15</v>
      </c>
    </row>
    <row r="26" customFormat="false" ht="15" hidden="false" customHeight="false" outlineLevel="0" collapsed="false">
      <c r="A26" s="13" t="s">
        <v>21</v>
      </c>
      <c r="B26" s="13" t="n">
        <f aca="false">COUNTIF('Field Register'!$H$4:$H$31,"*MASTER*")</f>
        <v>1</v>
      </c>
    </row>
    <row r="27" customFormat="false" ht="15" hidden="false" customHeight="false" outlineLevel="0" collapsed="false">
      <c r="A27" s="13" t="s">
        <v>23</v>
      </c>
      <c r="B27" s="13" t="n">
        <f aca="false">COUNTIF('Field Register'!$H$4:$H$31,"*SYSTEM*")</f>
        <v>1</v>
      </c>
    </row>
    <row r="28" customFormat="false" ht="15" hidden="false" customHeight="false" outlineLevel="0" collapsed="false">
      <c r="A28" s="14" t="s">
        <v>32</v>
      </c>
      <c r="B28" s="14" t="n">
        <f aca="false">COUNTA('Field Register'!$A$4:$A$31)</f>
        <v>28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52"/>
  </cols>
  <sheetData>
    <row r="1" customFormat="false" ht="24" hidden="false" customHeight="true" outlineLevel="0" collapsed="false">
      <c r="A1" s="15" t="s">
        <v>33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  <c r="G2" s="16"/>
    </row>
    <row r="3" customFormat="false" ht="30" hidden="false" customHeight="true" outlineLevel="0" collapsed="false">
      <c r="A3" s="17" t="s">
        <v>35</v>
      </c>
      <c r="B3" s="17" t="s">
        <v>36</v>
      </c>
      <c r="C3" s="17" t="s">
        <v>37</v>
      </c>
      <c r="D3" s="17" t="s">
        <v>38</v>
      </c>
      <c r="E3" s="17" t="s">
        <v>39</v>
      </c>
      <c r="F3" s="17" t="s">
        <v>40</v>
      </c>
      <c r="G3" s="17" t="s">
        <v>41</v>
      </c>
    </row>
    <row r="4" customFormat="false" ht="23.85" hidden="false" customHeight="false" outlineLevel="0" collapsed="false">
      <c r="A4" s="18" t="s">
        <v>42</v>
      </c>
      <c r="B4" s="18" t="s">
        <v>43</v>
      </c>
      <c r="C4" s="18" t="s">
        <v>44</v>
      </c>
      <c r="D4" s="18" t="s">
        <v>45</v>
      </c>
      <c r="E4" s="18" t="s">
        <v>46</v>
      </c>
      <c r="F4" s="18" t="s">
        <v>47</v>
      </c>
      <c r="G4" s="18" t="s">
        <v>48</v>
      </c>
    </row>
    <row r="5" customFormat="false" ht="23.85" hidden="false" customHeight="false" outlineLevel="0" collapsed="false">
      <c r="A5" s="18" t="s">
        <v>49</v>
      </c>
      <c r="B5" s="18" t="s">
        <v>50</v>
      </c>
      <c r="C5" s="18" t="s">
        <v>51</v>
      </c>
      <c r="D5" s="18" t="s">
        <v>45</v>
      </c>
      <c r="E5" s="18" t="s">
        <v>52</v>
      </c>
      <c r="F5" s="18" t="s">
        <v>53</v>
      </c>
      <c r="G5" s="18" t="s">
        <v>54</v>
      </c>
    </row>
    <row r="6" customFormat="false" ht="15" hidden="false" customHeight="false" outlineLevel="0" collapsed="false">
      <c r="A6" s="18" t="s">
        <v>55</v>
      </c>
      <c r="B6" s="18" t="s">
        <v>56</v>
      </c>
      <c r="C6" s="18" t="s">
        <v>57</v>
      </c>
      <c r="D6" s="18" t="s">
        <v>45</v>
      </c>
      <c r="E6" s="18" t="s">
        <v>58</v>
      </c>
      <c r="F6" s="18" t="s">
        <v>59</v>
      </c>
      <c r="G6" s="18" t="s">
        <v>60</v>
      </c>
    </row>
    <row r="7" customFormat="false" ht="15" hidden="false" customHeight="false" outlineLevel="0" collapsed="false">
      <c r="A7" s="19" t="s">
        <v>61</v>
      </c>
      <c r="B7" s="19"/>
      <c r="C7" s="19"/>
      <c r="D7" s="19"/>
      <c r="E7" s="19"/>
      <c r="F7" s="19"/>
      <c r="G7" s="19"/>
    </row>
    <row r="8" customFormat="false" ht="15" hidden="false" customHeight="false" outlineLevel="0" collapsed="false">
      <c r="A8" s="18" t="s">
        <v>62</v>
      </c>
      <c r="B8" s="18" t="s">
        <v>63</v>
      </c>
      <c r="C8" s="18" t="s">
        <v>64</v>
      </c>
      <c r="D8" s="18" t="s">
        <v>45</v>
      </c>
      <c r="E8" s="18" t="s">
        <v>65</v>
      </c>
      <c r="F8" s="18" t="s">
        <v>66</v>
      </c>
      <c r="G8" s="18" t="s">
        <v>67</v>
      </c>
    </row>
    <row r="9" customFormat="false" ht="15" hidden="false" customHeight="false" outlineLevel="0" collapsed="false">
      <c r="A9" s="18" t="s">
        <v>68</v>
      </c>
      <c r="B9" s="18" t="s">
        <v>69</v>
      </c>
      <c r="C9" s="18" t="s">
        <v>66</v>
      </c>
      <c r="D9" s="18" t="s">
        <v>45</v>
      </c>
      <c r="E9" s="18" t="s">
        <v>70</v>
      </c>
      <c r="F9" s="18" t="s">
        <v>66</v>
      </c>
      <c r="G9" s="18" t="s">
        <v>71</v>
      </c>
    </row>
    <row r="10" customFormat="false" ht="15" hidden="false" customHeight="false" outlineLevel="0" collapsed="false">
      <c r="A10" s="18" t="s">
        <v>72</v>
      </c>
      <c r="B10" s="18" t="s">
        <v>73</v>
      </c>
      <c r="C10" s="18" t="s">
        <v>66</v>
      </c>
      <c r="D10" s="18" t="s">
        <v>74</v>
      </c>
      <c r="E10" s="18" t="s">
        <v>75</v>
      </c>
      <c r="F10" s="18" t="s">
        <v>76</v>
      </c>
      <c r="G10" s="18" t="s">
        <v>77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5" min="4" style="0" width="26"/>
    <col collapsed="false" customWidth="true" hidden="false" outlineLevel="0" max="7" min="6" style="0" width="8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5"/>
    <col collapsed="false" customWidth="true" hidden="false" outlineLevel="0" max="11" min="11" style="0" width="34"/>
    <col collapsed="false" customWidth="true" hidden="false" outlineLevel="0" max="12" min="12" style="0" width="26"/>
  </cols>
  <sheetData>
    <row r="1" customFormat="false" ht="24" hidden="false" customHeight="true" outlineLevel="0" collapsed="false">
      <c r="A1" s="15" t="s">
        <v>78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customFormat="false" ht="30" hidden="false" customHeight="true" outlineLevel="0" collapsed="false">
      <c r="A3" s="17" t="s">
        <v>79</v>
      </c>
      <c r="B3" s="17" t="s">
        <v>80</v>
      </c>
      <c r="C3" s="17" t="s">
        <v>81</v>
      </c>
      <c r="D3" s="17" t="s">
        <v>82</v>
      </c>
      <c r="E3" s="17" t="s">
        <v>83</v>
      </c>
      <c r="F3" s="17" t="s">
        <v>84</v>
      </c>
      <c r="G3" s="17" t="s">
        <v>85</v>
      </c>
      <c r="H3" s="17" t="s">
        <v>86</v>
      </c>
      <c r="I3" s="17" t="s">
        <v>87</v>
      </c>
      <c r="J3" s="17" t="s">
        <v>88</v>
      </c>
      <c r="K3" s="17" t="s">
        <v>89</v>
      </c>
      <c r="L3" s="17" t="s">
        <v>90</v>
      </c>
    </row>
    <row r="4" customFormat="false" ht="15" hidden="false" customHeight="false" outlineLevel="0" collapsed="false">
      <c r="A4" s="18" t="s">
        <v>91</v>
      </c>
      <c r="B4" s="18" t="s">
        <v>92</v>
      </c>
      <c r="C4" s="18" t="s">
        <v>93</v>
      </c>
      <c r="D4" s="18" t="s">
        <v>94</v>
      </c>
      <c r="E4" s="18" t="s">
        <v>95</v>
      </c>
      <c r="F4" s="18" t="s">
        <v>96</v>
      </c>
      <c r="G4" s="18" t="s">
        <v>66</v>
      </c>
      <c r="H4" s="20" t="s">
        <v>23</v>
      </c>
      <c r="I4" s="18" t="s">
        <v>97</v>
      </c>
      <c r="J4" s="18" t="s">
        <v>98</v>
      </c>
      <c r="K4" s="18" t="s">
        <v>99</v>
      </c>
      <c r="L4" s="18" t="s">
        <v>100</v>
      </c>
    </row>
    <row r="5" customFormat="false" ht="15" hidden="false" customHeight="false" outlineLevel="0" collapsed="false">
      <c r="A5" s="18" t="s">
        <v>101</v>
      </c>
      <c r="B5" s="18" t="s">
        <v>92</v>
      </c>
      <c r="C5" s="18" t="s">
        <v>102</v>
      </c>
      <c r="D5" s="18" t="s">
        <v>103</v>
      </c>
      <c r="E5" s="18" t="s">
        <v>95</v>
      </c>
      <c r="F5" s="18" t="s">
        <v>96</v>
      </c>
      <c r="G5" s="18" t="s">
        <v>66</v>
      </c>
      <c r="H5" s="21" t="s">
        <v>17</v>
      </c>
      <c r="I5" s="18" t="s">
        <v>104</v>
      </c>
      <c r="J5" s="18" t="s">
        <v>105</v>
      </c>
      <c r="K5" s="18" t="s">
        <v>106</v>
      </c>
      <c r="L5" s="18"/>
    </row>
    <row r="6" customFormat="false" ht="15" hidden="false" customHeight="false" outlineLevel="0" collapsed="false">
      <c r="A6" s="18" t="s">
        <v>107</v>
      </c>
      <c r="B6" s="18" t="s">
        <v>92</v>
      </c>
      <c r="C6" s="18" t="s">
        <v>108</v>
      </c>
      <c r="D6" s="18" t="s">
        <v>109</v>
      </c>
      <c r="E6" s="18" t="s">
        <v>95</v>
      </c>
      <c r="F6" s="18" t="s">
        <v>96</v>
      </c>
      <c r="G6" s="18" t="s">
        <v>66</v>
      </c>
      <c r="H6" s="21" t="s">
        <v>17</v>
      </c>
      <c r="I6" s="18" t="s">
        <v>104</v>
      </c>
      <c r="J6" s="18" t="s">
        <v>98</v>
      </c>
      <c r="K6" s="18" t="s">
        <v>110</v>
      </c>
      <c r="L6" s="18"/>
    </row>
    <row r="7" customFormat="false" ht="15" hidden="false" customHeight="false" outlineLevel="0" collapsed="false">
      <c r="A7" s="18" t="s">
        <v>111</v>
      </c>
      <c r="B7" s="18" t="s">
        <v>92</v>
      </c>
      <c r="C7" s="18" t="s">
        <v>112</v>
      </c>
      <c r="D7" s="18" t="s">
        <v>113</v>
      </c>
      <c r="E7" s="18" t="s">
        <v>95</v>
      </c>
      <c r="F7" s="18" t="s">
        <v>114</v>
      </c>
      <c r="G7" s="18" t="s">
        <v>115</v>
      </c>
      <c r="H7" s="21" t="s">
        <v>17</v>
      </c>
      <c r="I7" s="18" t="s">
        <v>104</v>
      </c>
      <c r="J7" s="18" t="s">
        <v>98</v>
      </c>
      <c r="K7" s="18" t="s">
        <v>66</v>
      </c>
      <c r="L7" s="18"/>
    </row>
    <row r="8" customFormat="false" ht="15" hidden="false" customHeight="false" outlineLevel="0" collapsed="false">
      <c r="A8" s="18" t="s">
        <v>116</v>
      </c>
      <c r="B8" s="18" t="s">
        <v>92</v>
      </c>
      <c r="C8" s="18" t="s">
        <v>117</v>
      </c>
      <c r="D8" s="18" t="s">
        <v>118</v>
      </c>
      <c r="E8" s="18" t="s">
        <v>95</v>
      </c>
      <c r="F8" s="18" t="s">
        <v>96</v>
      </c>
      <c r="G8" s="18" t="s">
        <v>66</v>
      </c>
      <c r="H8" s="21" t="s">
        <v>17</v>
      </c>
      <c r="I8" s="18" t="s">
        <v>119</v>
      </c>
      <c r="J8" s="18" t="s">
        <v>98</v>
      </c>
      <c r="K8" s="18" t="s">
        <v>66</v>
      </c>
      <c r="L8" s="18"/>
    </row>
    <row r="9" customFormat="false" ht="23.85" hidden="false" customHeight="false" outlineLevel="0" collapsed="false">
      <c r="A9" s="18" t="s">
        <v>120</v>
      </c>
      <c r="B9" s="18" t="s">
        <v>92</v>
      </c>
      <c r="C9" s="18" t="s">
        <v>121</v>
      </c>
      <c r="D9" s="18" t="s">
        <v>122</v>
      </c>
      <c r="E9" s="18" t="s">
        <v>95</v>
      </c>
      <c r="F9" s="18" t="s">
        <v>123</v>
      </c>
      <c r="G9" s="18" t="s">
        <v>124</v>
      </c>
      <c r="H9" s="21" t="s">
        <v>125</v>
      </c>
      <c r="I9" s="18" t="s">
        <v>126</v>
      </c>
      <c r="J9" s="18" t="s">
        <v>98</v>
      </c>
      <c r="K9" s="18" t="s">
        <v>66</v>
      </c>
      <c r="L9" s="18"/>
    </row>
    <row r="10" customFormat="false" ht="23.85" hidden="false" customHeight="false" outlineLevel="0" collapsed="false">
      <c r="A10" s="18" t="s">
        <v>127</v>
      </c>
      <c r="B10" s="18" t="s">
        <v>128</v>
      </c>
      <c r="C10" s="18" t="s">
        <v>129</v>
      </c>
      <c r="D10" s="18" t="s">
        <v>130</v>
      </c>
      <c r="E10" s="18" t="s">
        <v>95</v>
      </c>
      <c r="F10" s="18" t="s">
        <v>123</v>
      </c>
      <c r="G10" s="18" t="s">
        <v>131</v>
      </c>
      <c r="H10" s="22" t="s">
        <v>15</v>
      </c>
      <c r="I10" s="18" t="s">
        <v>132</v>
      </c>
      <c r="J10" s="18" t="s">
        <v>98</v>
      </c>
      <c r="K10" s="18" t="s">
        <v>133</v>
      </c>
      <c r="L10" s="18" t="s">
        <v>134</v>
      </c>
    </row>
    <row r="11" customFormat="false" ht="15" hidden="false" customHeight="false" outlineLevel="0" collapsed="false">
      <c r="A11" s="18" t="s">
        <v>135</v>
      </c>
      <c r="B11" s="18" t="s">
        <v>128</v>
      </c>
      <c r="C11" s="18" t="s">
        <v>136</v>
      </c>
      <c r="D11" s="18" t="s">
        <v>137</v>
      </c>
      <c r="E11" s="18" t="s">
        <v>95</v>
      </c>
      <c r="F11" s="18" t="s">
        <v>123</v>
      </c>
      <c r="G11" s="18" t="s">
        <v>138</v>
      </c>
      <c r="H11" s="22" t="s">
        <v>15</v>
      </c>
      <c r="I11" s="18" t="s">
        <v>139</v>
      </c>
      <c r="J11" s="18" t="s">
        <v>98</v>
      </c>
      <c r="K11" s="18" t="s">
        <v>140</v>
      </c>
      <c r="L11" s="18" t="s">
        <v>141</v>
      </c>
    </row>
    <row r="12" customFormat="false" ht="15" hidden="false" customHeight="false" outlineLevel="0" collapsed="false">
      <c r="A12" s="18" t="s">
        <v>142</v>
      </c>
      <c r="B12" s="18" t="s">
        <v>128</v>
      </c>
      <c r="C12" s="18" t="s">
        <v>143</v>
      </c>
      <c r="D12" s="18" t="s">
        <v>144</v>
      </c>
      <c r="E12" s="18" t="s">
        <v>95</v>
      </c>
      <c r="F12" s="18" t="s">
        <v>123</v>
      </c>
      <c r="G12" s="18" t="s">
        <v>131</v>
      </c>
      <c r="H12" s="22" t="s">
        <v>15</v>
      </c>
      <c r="I12" s="18" t="s">
        <v>145</v>
      </c>
      <c r="J12" s="18" t="s">
        <v>98</v>
      </c>
      <c r="K12" s="18" t="s">
        <v>146</v>
      </c>
      <c r="L12" s="18" t="s">
        <v>147</v>
      </c>
    </row>
    <row r="13" customFormat="false" ht="15" hidden="false" customHeight="false" outlineLevel="0" collapsed="false">
      <c r="A13" s="18" t="s">
        <v>148</v>
      </c>
      <c r="B13" s="18" t="s">
        <v>128</v>
      </c>
      <c r="C13" s="18" t="s">
        <v>149</v>
      </c>
      <c r="D13" s="18" t="s">
        <v>150</v>
      </c>
      <c r="E13" s="18" t="s">
        <v>95</v>
      </c>
      <c r="F13" s="18" t="s">
        <v>123</v>
      </c>
      <c r="G13" s="18" t="s">
        <v>151</v>
      </c>
      <c r="H13" s="22" t="s">
        <v>15</v>
      </c>
      <c r="I13" s="18" t="s">
        <v>152</v>
      </c>
      <c r="J13" s="18" t="s">
        <v>98</v>
      </c>
      <c r="K13" s="18" t="s">
        <v>153</v>
      </c>
      <c r="L13" s="18"/>
    </row>
    <row r="14" customFormat="false" ht="15" hidden="false" customHeight="false" outlineLevel="0" collapsed="false">
      <c r="A14" s="18" t="s">
        <v>154</v>
      </c>
      <c r="B14" s="18" t="s">
        <v>128</v>
      </c>
      <c r="C14" s="18" t="s">
        <v>155</v>
      </c>
      <c r="D14" s="18" t="s">
        <v>156</v>
      </c>
      <c r="E14" s="18" t="s">
        <v>95</v>
      </c>
      <c r="F14" s="18" t="s">
        <v>123</v>
      </c>
      <c r="G14" s="18" t="s">
        <v>131</v>
      </c>
      <c r="H14" s="22" t="s">
        <v>15</v>
      </c>
      <c r="I14" s="18" t="s">
        <v>152</v>
      </c>
      <c r="J14" s="18" t="s">
        <v>98</v>
      </c>
      <c r="K14" s="18" t="s">
        <v>157</v>
      </c>
      <c r="L14" s="18" t="s">
        <v>158</v>
      </c>
    </row>
    <row r="15" customFormat="false" ht="15" hidden="false" customHeight="false" outlineLevel="0" collapsed="false">
      <c r="A15" s="18" t="s">
        <v>159</v>
      </c>
      <c r="B15" s="18" t="s">
        <v>128</v>
      </c>
      <c r="C15" s="18" t="s">
        <v>160</v>
      </c>
      <c r="D15" s="18" t="s">
        <v>161</v>
      </c>
      <c r="E15" s="18" t="s">
        <v>95</v>
      </c>
      <c r="F15" s="18" t="s">
        <v>123</v>
      </c>
      <c r="G15" s="18" t="s">
        <v>131</v>
      </c>
      <c r="H15" s="22" t="s">
        <v>15</v>
      </c>
      <c r="I15" s="18" t="s">
        <v>162</v>
      </c>
      <c r="J15" s="18" t="s">
        <v>98</v>
      </c>
      <c r="K15" s="18" t="s">
        <v>163</v>
      </c>
      <c r="L15" s="18" t="s">
        <v>164</v>
      </c>
    </row>
    <row r="16" customFormat="false" ht="15" hidden="false" customHeight="false" outlineLevel="0" collapsed="false">
      <c r="A16" s="18" t="s">
        <v>165</v>
      </c>
      <c r="B16" s="18" t="s">
        <v>128</v>
      </c>
      <c r="C16" s="18" t="s">
        <v>166</v>
      </c>
      <c r="D16" s="18" t="s">
        <v>167</v>
      </c>
      <c r="E16" s="18" t="s">
        <v>95</v>
      </c>
      <c r="F16" s="18" t="s">
        <v>123</v>
      </c>
      <c r="G16" s="18" t="s">
        <v>138</v>
      </c>
      <c r="H16" s="22" t="s">
        <v>15</v>
      </c>
      <c r="I16" s="18" t="s">
        <v>168</v>
      </c>
      <c r="J16" s="18" t="s">
        <v>105</v>
      </c>
      <c r="K16" s="18" t="s">
        <v>169</v>
      </c>
      <c r="L16" s="18" t="s">
        <v>170</v>
      </c>
    </row>
    <row r="17" customFormat="false" ht="15" hidden="false" customHeight="false" outlineLevel="0" collapsed="false">
      <c r="A17" s="18" t="s">
        <v>171</v>
      </c>
      <c r="B17" s="18" t="s">
        <v>128</v>
      </c>
      <c r="C17" s="18" t="s">
        <v>172</v>
      </c>
      <c r="D17" s="18" t="s">
        <v>173</v>
      </c>
      <c r="E17" s="18" t="s">
        <v>95</v>
      </c>
      <c r="F17" s="18" t="s">
        <v>96</v>
      </c>
      <c r="G17" s="18" t="s">
        <v>66</v>
      </c>
      <c r="H17" s="23" t="s">
        <v>19</v>
      </c>
      <c r="I17" s="18" t="s">
        <v>174</v>
      </c>
      <c r="J17" s="18" t="s">
        <v>98</v>
      </c>
      <c r="K17" s="18" t="s">
        <v>175</v>
      </c>
      <c r="L17" s="18"/>
    </row>
    <row r="18" customFormat="false" ht="15" hidden="false" customHeight="false" outlineLevel="0" collapsed="false">
      <c r="A18" s="18" t="s">
        <v>176</v>
      </c>
      <c r="B18" s="18" t="s">
        <v>128</v>
      </c>
      <c r="C18" s="18" t="s">
        <v>177</v>
      </c>
      <c r="D18" s="18" t="s">
        <v>178</v>
      </c>
      <c r="E18" s="18" t="s">
        <v>179</v>
      </c>
      <c r="F18" s="18" t="s">
        <v>96</v>
      </c>
      <c r="G18" s="18" t="s">
        <v>66</v>
      </c>
      <c r="H18" s="22" t="s">
        <v>15</v>
      </c>
      <c r="I18" s="18" t="s">
        <v>180</v>
      </c>
      <c r="J18" s="18" t="s">
        <v>105</v>
      </c>
      <c r="K18" s="18" t="s">
        <v>66</v>
      </c>
      <c r="L18" s="18" t="s">
        <v>181</v>
      </c>
    </row>
    <row r="19" customFormat="false" ht="15" hidden="false" customHeight="false" outlineLevel="0" collapsed="false">
      <c r="A19" s="18" t="s">
        <v>182</v>
      </c>
      <c r="B19" s="18" t="s">
        <v>183</v>
      </c>
      <c r="C19" s="18" t="s">
        <v>184</v>
      </c>
      <c r="D19" s="18" t="s">
        <v>185</v>
      </c>
      <c r="E19" s="18" t="s">
        <v>186</v>
      </c>
      <c r="F19" s="18" t="s">
        <v>123</v>
      </c>
      <c r="G19" s="18" t="s">
        <v>187</v>
      </c>
      <c r="H19" s="23" t="s">
        <v>19</v>
      </c>
      <c r="I19" s="18" t="s">
        <v>188</v>
      </c>
      <c r="J19" s="18" t="s">
        <v>98</v>
      </c>
      <c r="K19" s="18" t="s">
        <v>189</v>
      </c>
      <c r="L19" s="18" t="s">
        <v>134</v>
      </c>
    </row>
    <row r="20" customFormat="false" ht="15" hidden="false" customHeight="false" outlineLevel="0" collapsed="false">
      <c r="A20" s="18" t="s">
        <v>190</v>
      </c>
      <c r="B20" s="18" t="s">
        <v>183</v>
      </c>
      <c r="C20" s="18" t="s">
        <v>191</v>
      </c>
      <c r="D20" s="18" t="s">
        <v>192</v>
      </c>
      <c r="E20" s="18" t="s">
        <v>186</v>
      </c>
      <c r="F20" s="18" t="s">
        <v>123</v>
      </c>
      <c r="G20" s="18" t="s">
        <v>193</v>
      </c>
      <c r="H20" s="23" t="s">
        <v>19</v>
      </c>
      <c r="I20" s="18" t="s">
        <v>194</v>
      </c>
      <c r="J20" s="18" t="s">
        <v>98</v>
      </c>
      <c r="K20" s="18" t="s">
        <v>195</v>
      </c>
      <c r="L20" s="18" t="s">
        <v>196</v>
      </c>
    </row>
    <row r="21" customFormat="false" ht="15" hidden="false" customHeight="false" outlineLevel="0" collapsed="false">
      <c r="A21" s="18" t="s">
        <v>197</v>
      </c>
      <c r="B21" s="18" t="s">
        <v>183</v>
      </c>
      <c r="C21" s="18" t="s">
        <v>198</v>
      </c>
      <c r="D21" s="18" t="s">
        <v>199</v>
      </c>
      <c r="E21" s="18" t="s">
        <v>186</v>
      </c>
      <c r="F21" s="18" t="s">
        <v>123</v>
      </c>
      <c r="G21" s="18" t="s">
        <v>193</v>
      </c>
      <c r="H21" s="23" t="s">
        <v>19</v>
      </c>
      <c r="I21" s="18" t="s">
        <v>194</v>
      </c>
      <c r="J21" s="18" t="s">
        <v>98</v>
      </c>
      <c r="K21" s="18" t="s">
        <v>200</v>
      </c>
      <c r="L21" s="18"/>
    </row>
    <row r="22" customFormat="false" ht="15" hidden="false" customHeight="false" outlineLevel="0" collapsed="false">
      <c r="A22" s="18" t="s">
        <v>201</v>
      </c>
      <c r="B22" s="18" t="s">
        <v>183</v>
      </c>
      <c r="C22" s="18" t="s">
        <v>202</v>
      </c>
      <c r="D22" s="18" t="s">
        <v>203</v>
      </c>
      <c r="E22" s="18" t="s">
        <v>186</v>
      </c>
      <c r="F22" s="18" t="s">
        <v>123</v>
      </c>
      <c r="G22" s="18" t="s">
        <v>204</v>
      </c>
      <c r="H22" s="23" t="s">
        <v>19</v>
      </c>
      <c r="I22" s="18" t="s">
        <v>194</v>
      </c>
      <c r="J22" s="18" t="s">
        <v>98</v>
      </c>
      <c r="K22" s="18" t="s">
        <v>205</v>
      </c>
      <c r="L22" s="18" t="s">
        <v>206</v>
      </c>
    </row>
    <row r="23" customFormat="false" ht="15" hidden="false" customHeight="false" outlineLevel="0" collapsed="false">
      <c r="A23" s="18" t="s">
        <v>207</v>
      </c>
      <c r="B23" s="18" t="s">
        <v>183</v>
      </c>
      <c r="C23" s="18" t="s">
        <v>208</v>
      </c>
      <c r="D23" s="18" t="s">
        <v>209</v>
      </c>
      <c r="E23" s="18" t="s">
        <v>186</v>
      </c>
      <c r="F23" s="18" t="s">
        <v>123</v>
      </c>
      <c r="G23" s="18" t="s">
        <v>187</v>
      </c>
      <c r="H23" s="23" t="s">
        <v>19</v>
      </c>
      <c r="I23" s="18" t="s">
        <v>194</v>
      </c>
      <c r="J23" s="18" t="s">
        <v>98</v>
      </c>
      <c r="K23" s="18" t="s">
        <v>210</v>
      </c>
      <c r="L23" s="18" t="s">
        <v>211</v>
      </c>
    </row>
    <row r="24" customFormat="false" ht="15" hidden="false" customHeight="false" outlineLevel="0" collapsed="false">
      <c r="A24" s="18" t="s">
        <v>212</v>
      </c>
      <c r="B24" s="18" t="s">
        <v>183</v>
      </c>
      <c r="C24" s="18" t="s">
        <v>213</v>
      </c>
      <c r="D24" s="18" t="s">
        <v>214</v>
      </c>
      <c r="E24" s="18" t="s">
        <v>186</v>
      </c>
      <c r="F24" s="18" t="s">
        <v>123</v>
      </c>
      <c r="G24" s="18" t="s">
        <v>204</v>
      </c>
      <c r="H24" s="23" t="s">
        <v>19</v>
      </c>
      <c r="I24" s="18" t="s">
        <v>194</v>
      </c>
      <c r="J24" s="18" t="s">
        <v>98</v>
      </c>
      <c r="K24" s="18" t="s">
        <v>215</v>
      </c>
      <c r="L24" s="18" t="s">
        <v>216</v>
      </c>
    </row>
    <row r="25" customFormat="false" ht="15" hidden="false" customHeight="false" outlineLevel="0" collapsed="false">
      <c r="A25" s="18" t="s">
        <v>217</v>
      </c>
      <c r="B25" s="18" t="s">
        <v>183</v>
      </c>
      <c r="C25" s="18" t="s">
        <v>218</v>
      </c>
      <c r="D25" s="18" t="s">
        <v>219</v>
      </c>
      <c r="E25" s="18" t="s">
        <v>186</v>
      </c>
      <c r="F25" s="18" t="s">
        <v>123</v>
      </c>
      <c r="G25" s="18" t="s">
        <v>220</v>
      </c>
      <c r="H25" s="23" t="s">
        <v>19</v>
      </c>
      <c r="I25" s="18" t="s">
        <v>194</v>
      </c>
      <c r="J25" s="18" t="s">
        <v>98</v>
      </c>
      <c r="K25" s="18" t="s">
        <v>221</v>
      </c>
      <c r="L25" s="18" t="s">
        <v>158</v>
      </c>
    </row>
    <row r="26" customFormat="false" ht="23.85" hidden="false" customHeight="false" outlineLevel="0" collapsed="false">
      <c r="A26" s="18" t="s">
        <v>222</v>
      </c>
      <c r="B26" s="18" t="s">
        <v>183</v>
      </c>
      <c r="C26" s="18" t="s">
        <v>223</v>
      </c>
      <c r="D26" s="18" t="s">
        <v>224</v>
      </c>
      <c r="E26" s="18" t="s">
        <v>186</v>
      </c>
      <c r="F26" s="18" t="s">
        <v>123</v>
      </c>
      <c r="G26" s="18" t="s">
        <v>204</v>
      </c>
      <c r="H26" s="23" t="s">
        <v>19</v>
      </c>
      <c r="I26" s="18" t="s">
        <v>194</v>
      </c>
      <c r="J26" s="18" t="s">
        <v>98</v>
      </c>
      <c r="K26" s="18" t="s">
        <v>225</v>
      </c>
      <c r="L26" s="18"/>
    </row>
    <row r="27" customFormat="false" ht="15" hidden="false" customHeight="false" outlineLevel="0" collapsed="false">
      <c r="A27" s="18" t="s">
        <v>226</v>
      </c>
      <c r="B27" s="18" t="s">
        <v>183</v>
      </c>
      <c r="C27" s="18" t="s">
        <v>227</v>
      </c>
      <c r="D27" s="18" t="s">
        <v>228</v>
      </c>
      <c r="E27" s="18" t="s">
        <v>186</v>
      </c>
      <c r="F27" s="18" t="s">
        <v>123</v>
      </c>
      <c r="G27" s="18" t="s">
        <v>229</v>
      </c>
      <c r="H27" s="23" t="s">
        <v>19</v>
      </c>
      <c r="I27" s="18" t="s">
        <v>194</v>
      </c>
      <c r="J27" s="18" t="s">
        <v>105</v>
      </c>
      <c r="K27" s="18" t="s">
        <v>230</v>
      </c>
      <c r="L27" s="18" t="s">
        <v>231</v>
      </c>
    </row>
    <row r="28" customFormat="false" ht="15" hidden="false" customHeight="false" outlineLevel="0" collapsed="false">
      <c r="A28" s="18" t="s">
        <v>232</v>
      </c>
      <c r="B28" s="18" t="s">
        <v>128</v>
      </c>
      <c r="C28" s="18" t="s">
        <v>233</v>
      </c>
      <c r="D28" s="18" t="s">
        <v>234</v>
      </c>
      <c r="E28" s="18" t="s">
        <v>95</v>
      </c>
      <c r="F28" s="18" t="s">
        <v>114</v>
      </c>
      <c r="G28" s="18" t="s">
        <v>66</v>
      </c>
      <c r="H28" s="23" t="s">
        <v>19</v>
      </c>
      <c r="I28" s="18" t="s">
        <v>174</v>
      </c>
      <c r="J28" s="18" t="s">
        <v>105</v>
      </c>
      <c r="K28" s="18" t="s">
        <v>235</v>
      </c>
      <c r="L28" s="18"/>
    </row>
    <row r="29" customFormat="false" ht="15" hidden="false" customHeight="false" outlineLevel="0" collapsed="false">
      <c r="A29" s="18" t="s">
        <v>236</v>
      </c>
      <c r="B29" s="18" t="s">
        <v>128</v>
      </c>
      <c r="C29" s="18" t="s">
        <v>237</v>
      </c>
      <c r="D29" s="18" t="s">
        <v>238</v>
      </c>
      <c r="E29" s="18" t="s">
        <v>95</v>
      </c>
      <c r="F29" s="18" t="s">
        <v>96</v>
      </c>
      <c r="G29" s="18" t="s">
        <v>66</v>
      </c>
      <c r="H29" s="23" t="s">
        <v>19</v>
      </c>
      <c r="I29" s="18" t="s">
        <v>174</v>
      </c>
      <c r="J29" s="18" t="s">
        <v>105</v>
      </c>
      <c r="K29" s="18" t="s">
        <v>66</v>
      </c>
      <c r="L29" s="18"/>
    </row>
    <row r="30" customFormat="false" ht="15" hidden="false" customHeight="false" outlineLevel="0" collapsed="false">
      <c r="A30" s="18" t="s">
        <v>239</v>
      </c>
      <c r="B30" s="18" t="s">
        <v>240</v>
      </c>
      <c r="C30" s="18" t="s">
        <v>241</v>
      </c>
      <c r="D30" s="18" t="s">
        <v>242</v>
      </c>
      <c r="E30" s="18" t="s">
        <v>59</v>
      </c>
      <c r="F30" s="18" t="s">
        <v>123</v>
      </c>
      <c r="G30" s="18" t="s">
        <v>243</v>
      </c>
      <c r="H30" s="23" t="s">
        <v>19</v>
      </c>
      <c r="I30" s="18" t="s">
        <v>194</v>
      </c>
      <c r="J30" s="18" t="s">
        <v>98</v>
      </c>
      <c r="K30" s="18" t="s">
        <v>244</v>
      </c>
      <c r="L30" s="18" t="s">
        <v>245</v>
      </c>
    </row>
    <row r="31" customFormat="false" ht="23.85" hidden="false" customHeight="false" outlineLevel="0" collapsed="false">
      <c r="A31" s="18" t="s">
        <v>246</v>
      </c>
      <c r="B31" s="18" t="s">
        <v>247</v>
      </c>
      <c r="C31" s="18" t="s">
        <v>248</v>
      </c>
      <c r="D31" s="18" t="s">
        <v>249</v>
      </c>
      <c r="E31" s="18" t="s">
        <v>53</v>
      </c>
      <c r="F31" s="18" t="s">
        <v>114</v>
      </c>
      <c r="G31" s="18" t="s">
        <v>66</v>
      </c>
      <c r="H31" s="24" t="s">
        <v>250</v>
      </c>
      <c r="I31" s="18" t="s">
        <v>251</v>
      </c>
      <c r="J31" s="18" t="s">
        <v>98</v>
      </c>
      <c r="K31" s="18" t="s">
        <v>252</v>
      </c>
      <c r="L31" s="18" t="s">
        <v>253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4" hidden="false" customHeight="true" outlineLevel="0" collapsed="false">
      <c r="A1" s="15" t="s">
        <v>254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</row>
    <row r="3" customFormat="false" ht="30" hidden="false" customHeight="true" outlineLevel="0" collapsed="false">
      <c r="A3" s="17" t="s">
        <v>255</v>
      </c>
      <c r="B3" s="17" t="s">
        <v>256</v>
      </c>
      <c r="C3" s="17" t="s">
        <v>257</v>
      </c>
      <c r="D3" s="17" t="s">
        <v>258</v>
      </c>
      <c r="E3" s="17" t="s">
        <v>259</v>
      </c>
      <c r="F3" s="17" t="s">
        <v>90</v>
      </c>
    </row>
    <row r="4" customFormat="false" ht="15" hidden="false" customHeight="false" outlineLevel="0" collapsed="false">
      <c r="A4" s="18" t="s">
        <v>260</v>
      </c>
      <c r="B4" s="18" t="s">
        <v>118</v>
      </c>
      <c r="C4" s="18" t="s">
        <v>95</v>
      </c>
      <c r="D4" s="18" t="s">
        <v>45</v>
      </c>
      <c r="E4" s="18" t="s">
        <v>66</v>
      </c>
      <c r="F4" s="18"/>
    </row>
    <row r="5" customFormat="false" ht="15" hidden="false" customHeight="false" outlineLevel="0" collapsed="false">
      <c r="A5" s="18" t="s">
        <v>102</v>
      </c>
      <c r="B5" s="18" t="s">
        <v>103</v>
      </c>
      <c r="C5" s="18" t="s">
        <v>95</v>
      </c>
      <c r="D5" s="18" t="s">
        <v>45</v>
      </c>
      <c r="E5" s="18" t="s">
        <v>66</v>
      </c>
      <c r="F5" s="18"/>
    </row>
    <row r="6" customFormat="false" ht="15" hidden="false" customHeight="false" outlineLevel="0" collapsed="false">
      <c r="A6" s="18" t="s">
        <v>108</v>
      </c>
      <c r="B6" s="18" t="s">
        <v>109</v>
      </c>
      <c r="C6" s="18" t="s">
        <v>95</v>
      </c>
      <c r="D6" s="18" t="s">
        <v>45</v>
      </c>
      <c r="E6" s="18" t="s">
        <v>66</v>
      </c>
      <c r="F6" s="18"/>
    </row>
    <row r="7" customFormat="false" ht="15" hidden="false" customHeight="false" outlineLevel="0" collapsed="false">
      <c r="A7" s="18" t="s">
        <v>261</v>
      </c>
      <c r="B7" s="18" t="s">
        <v>113</v>
      </c>
      <c r="C7" s="18" t="s">
        <v>95</v>
      </c>
      <c r="D7" s="18" t="s">
        <v>45</v>
      </c>
      <c r="E7" s="18" t="s">
        <v>66</v>
      </c>
      <c r="F7" s="18"/>
    </row>
    <row r="8" customFormat="false" ht="15" hidden="false" customHeight="false" outlineLevel="0" collapsed="false">
      <c r="A8" s="18" t="s">
        <v>262</v>
      </c>
      <c r="B8" s="18" t="s">
        <v>122</v>
      </c>
      <c r="C8" s="18" t="s">
        <v>95</v>
      </c>
      <c r="D8" s="18" t="s">
        <v>45</v>
      </c>
      <c r="E8" s="18" t="s">
        <v>66</v>
      </c>
      <c r="F8" s="18"/>
    </row>
    <row r="9" customFormat="false" ht="15" hidden="false" customHeight="false" outlineLevel="0" collapsed="false">
      <c r="A9" s="18" t="s">
        <v>263</v>
      </c>
      <c r="B9" s="18" t="s">
        <v>264</v>
      </c>
      <c r="C9" s="18" t="s">
        <v>95</v>
      </c>
      <c r="D9" s="18" t="s">
        <v>45</v>
      </c>
      <c r="E9" s="18" t="s">
        <v>66</v>
      </c>
      <c r="F9" s="18" t="s">
        <v>265</v>
      </c>
    </row>
    <row r="10" customFormat="false" ht="15" hidden="false" customHeight="false" outlineLevel="0" collapsed="false">
      <c r="A10" s="18" t="s">
        <v>266</v>
      </c>
      <c r="B10" s="18" t="s">
        <v>267</v>
      </c>
      <c r="C10" s="18" t="s">
        <v>268</v>
      </c>
      <c r="D10" s="18" t="s">
        <v>45</v>
      </c>
      <c r="E10" s="18" t="s">
        <v>66</v>
      </c>
      <c r="F10" s="18"/>
    </row>
    <row r="11" customFormat="false" ht="15" hidden="false" customHeight="false" outlineLevel="0" collapsed="false">
      <c r="A11" s="18" t="s">
        <v>269</v>
      </c>
      <c r="B11" s="18" t="s">
        <v>270</v>
      </c>
      <c r="C11" s="18" t="s">
        <v>95</v>
      </c>
      <c r="D11" s="18" t="s">
        <v>66</v>
      </c>
      <c r="E11" s="18" t="s">
        <v>45</v>
      </c>
      <c r="F11" s="18" t="s">
        <v>271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3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24" hidden="false" customHeight="true" outlineLevel="0" collapsed="false">
      <c r="A1" s="15" t="s">
        <v>272</v>
      </c>
      <c r="B1" s="15"/>
      <c r="C1" s="15"/>
      <c r="D1" s="15"/>
      <c r="E1" s="15"/>
      <c r="F1" s="15"/>
      <c r="G1" s="15"/>
      <c r="H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  <c r="G2" s="16"/>
      <c r="H2" s="16"/>
    </row>
    <row r="3" customFormat="false" ht="30" hidden="false" customHeight="true" outlineLevel="0" collapsed="false">
      <c r="A3" s="17" t="s">
        <v>273</v>
      </c>
      <c r="B3" s="17" t="s">
        <v>274</v>
      </c>
      <c r="C3" s="17" t="s">
        <v>275</v>
      </c>
      <c r="D3" s="17" t="s">
        <v>276</v>
      </c>
      <c r="E3" s="17" t="s">
        <v>277</v>
      </c>
      <c r="F3" s="17" t="s">
        <v>278</v>
      </c>
      <c r="G3" s="17" t="s">
        <v>279</v>
      </c>
      <c r="H3" s="17" t="s">
        <v>280</v>
      </c>
    </row>
    <row r="4" customFormat="false" ht="23.85" hidden="false" customHeight="false" outlineLevel="0" collapsed="false">
      <c r="A4" s="18" t="s">
        <v>281</v>
      </c>
      <c r="B4" s="18" t="s">
        <v>282</v>
      </c>
      <c r="C4" s="18" t="s">
        <v>283</v>
      </c>
      <c r="D4" s="18" t="s">
        <v>284</v>
      </c>
      <c r="E4" s="18" t="s">
        <v>285</v>
      </c>
      <c r="F4" s="18" t="s">
        <v>286</v>
      </c>
      <c r="G4" s="18" t="s">
        <v>287</v>
      </c>
      <c r="H4" s="18" t="s">
        <v>288</v>
      </c>
    </row>
    <row r="5" customFormat="false" ht="79.85" hidden="false" customHeight="false" outlineLevel="0" collapsed="false">
      <c r="A5" s="19" t="s">
        <v>289</v>
      </c>
      <c r="B5" s="19" t="s">
        <v>290</v>
      </c>
      <c r="C5" s="19"/>
      <c r="D5" s="19"/>
      <c r="E5" s="19"/>
      <c r="F5" s="19"/>
      <c r="G5" s="19"/>
      <c r="H5" s="19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44"/>
  </cols>
  <sheetData>
    <row r="1" customFormat="false" ht="24" hidden="false" customHeight="true" outlineLevel="0" collapsed="false">
      <c r="A1" s="15" t="s">
        <v>291</v>
      </c>
      <c r="B1" s="15"/>
      <c r="C1" s="15"/>
      <c r="D1" s="15"/>
      <c r="E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</row>
    <row r="3" customFormat="false" ht="30" hidden="false" customHeight="true" outlineLevel="0" collapsed="false">
      <c r="A3" s="17" t="s">
        <v>292</v>
      </c>
      <c r="B3" s="17" t="s">
        <v>293</v>
      </c>
      <c r="C3" s="17" t="s">
        <v>294</v>
      </c>
      <c r="D3" s="17" t="s">
        <v>295</v>
      </c>
      <c r="E3" s="17" t="s">
        <v>296</v>
      </c>
    </row>
    <row r="4" customFormat="false" ht="15" hidden="false" customHeight="false" outlineLevel="0" collapsed="false">
      <c r="A4" s="18" t="s">
        <v>297</v>
      </c>
      <c r="B4" s="18" t="s">
        <v>66</v>
      </c>
      <c r="C4" s="18" t="s">
        <v>66</v>
      </c>
      <c r="D4" s="18" t="s">
        <v>66</v>
      </c>
      <c r="E4" s="18" t="s">
        <v>66</v>
      </c>
    </row>
    <row r="5" customFormat="false" ht="15" hidden="false" customHeight="false" outlineLevel="0" collapsed="false">
      <c r="A5" s="18" t="s">
        <v>298</v>
      </c>
      <c r="B5" s="18" t="s">
        <v>299</v>
      </c>
      <c r="C5" s="18" t="s">
        <v>300</v>
      </c>
      <c r="D5" s="18" t="s">
        <v>301</v>
      </c>
      <c r="E5" s="18" t="s">
        <v>302</v>
      </c>
    </row>
    <row r="6" customFormat="false" ht="15" hidden="false" customHeight="false" outlineLevel="0" collapsed="false">
      <c r="A6" s="18" t="s">
        <v>303</v>
      </c>
      <c r="B6" s="18" t="s">
        <v>304</v>
      </c>
      <c r="C6" s="18" t="s">
        <v>140</v>
      </c>
      <c r="D6" s="18" t="s">
        <v>305</v>
      </c>
      <c r="E6" s="18" t="s">
        <v>306</v>
      </c>
    </row>
    <row r="7" customFormat="false" ht="15" hidden="false" customHeight="false" outlineLevel="0" collapsed="false">
      <c r="A7" s="18" t="s">
        <v>307</v>
      </c>
      <c r="B7" s="18" t="s">
        <v>66</v>
      </c>
      <c r="C7" s="18" t="s">
        <v>66</v>
      </c>
      <c r="D7" s="18" t="s">
        <v>308</v>
      </c>
      <c r="E7" s="18" t="s">
        <v>309</v>
      </c>
    </row>
    <row r="8" customFormat="false" ht="15" hidden="false" customHeight="false" outlineLevel="0" collapsed="false">
      <c r="A8" s="18" t="s">
        <v>310</v>
      </c>
      <c r="B8" s="18" t="s">
        <v>66</v>
      </c>
      <c r="C8" s="18" t="s">
        <v>66</v>
      </c>
      <c r="D8" s="18" t="s">
        <v>311</v>
      </c>
      <c r="E8" s="18" t="s">
        <v>312</v>
      </c>
    </row>
    <row r="9" customFormat="false" ht="15" hidden="false" customHeight="false" outlineLevel="0" collapsed="false">
      <c r="A9" s="18" t="s">
        <v>313</v>
      </c>
      <c r="B9" s="18" t="s">
        <v>314</v>
      </c>
      <c r="C9" s="18" t="s">
        <v>315</v>
      </c>
      <c r="D9" s="18" t="s">
        <v>316</v>
      </c>
      <c r="E9" s="18" t="s">
        <v>317</v>
      </c>
    </row>
    <row r="10" customFormat="false" ht="15" hidden="false" customHeight="false" outlineLevel="0" collapsed="false">
      <c r="A10" s="18" t="s">
        <v>318</v>
      </c>
      <c r="B10" s="18" t="s">
        <v>319</v>
      </c>
      <c r="C10" s="18" t="s">
        <v>320</v>
      </c>
      <c r="D10" s="18" t="s">
        <v>321</v>
      </c>
      <c r="E10" s="18" t="s">
        <v>322</v>
      </c>
    </row>
    <row r="11" customFormat="false" ht="15" hidden="false" customHeight="false" outlineLevel="0" collapsed="false">
      <c r="A11" s="18" t="s">
        <v>323</v>
      </c>
      <c r="B11" s="18" t="s">
        <v>324</v>
      </c>
      <c r="C11" s="18" t="s">
        <v>325</v>
      </c>
      <c r="D11" s="18" t="s">
        <v>326</v>
      </c>
      <c r="E11" s="18" t="s">
        <v>327</v>
      </c>
    </row>
    <row r="12" customFormat="false" ht="15" hidden="false" customHeight="false" outlineLevel="0" collapsed="false">
      <c r="A12" s="18" t="s">
        <v>328</v>
      </c>
      <c r="B12" s="18" t="s">
        <v>329</v>
      </c>
      <c r="C12" s="18" t="s">
        <v>330</v>
      </c>
      <c r="D12" s="18" t="s">
        <v>66</v>
      </c>
      <c r="E12" s="18" t="s">
        <v>66</v>
      </c>
    </row>
    <row r="13" customFormat="false" ht="15" hidden="false" customHeight="false" outlineLevel="0" collapsed="false">
      <c r="A13" s="18" t="s">
        <v>331</v>
      </c>
      <c r="B13" s="18" t="s">
        <v>304</v>
      </c>
      <c r="C13" s="18" t="s">
        <v>332</v>
      </c>
      <c r="D13" s="18" t="s">
        <v>231</v>
      </c>
      <c r="E13" s="18" t="s">
        <v>333</v>
      </c>
    </row>
    <row r="14" customFormat="false" ht="15" hidden="false" customHeight="false" outlineLevel="0" collapsed="false">
      <c r="A14" s="18" t="s">
        <v>334</v>
      </c>
      <c r="B14" s="18" t="s">
        <v>66</v>
      </c>
      <c r="C14" s="18" t="s">
        <v>66</v>
      </c>
      <c r="D14" s="18" t="s">
        <v>335</v>
      </c>
      <c r="E14" s="18" t="s">
        <v>336</v>
      </c>
    </row>
    <row r="15" customFormat="false" ht="15" hidden="false" customHeight="false" outlineLevel="0" collapsed="false">
      <c r="A15" s="18" t="s">
        <v>337</v>
      </c>
      <c r="B15" s="18" t="s">
        <v>66</v>
      </c>
      <c r="C15" s="18" t="s">
        <v>338</v>
      </c>
      <c r="D15" s="18" t="s">
        <v>66</v>
      </c>
      <c r="E15" s="18" t="s">
        <v>339</v>
      </c>
    </row>
    <row r="16" customFormat="false" ht="158.2" hidden="false" customHeight="false" outlineLevel="0" collapsed="false">
      <c r="A16" s="19" t="s">
        <v>340</v>
      </c>
      <c r="B16" s="19" t="s">
        <v>341</v>
      </c>
      <c r="C16" s="19"/>
      <c r="D16" s="19"/>
      <c r="E16" s="19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40"/>
  </cols>
  <sheetData>
    <row r="1" customFormat="false" ht="24" hidden="false" customHeight="true" outlineLevel="0" collapsed="false">
      <c r="A1" s="15" t="s">
        <v>342</v>
      </c>
      <c r="B1" s="15"/>
      <c r="C1" s="15"/>
    </row>
    <row r="2" customFormat="false" ht="15" hidden="false" customHeight="false" outlineLevel="0" collapsed="false">
      <c r="A2" s="16" t="s">
        <v>34</v>
      </c>
      <c r="B2" s="16"/>
      <c r="C2" s="16"/>
    </row>
    <row r="3" customFormat="false" ht="30" hidden="false" customHeight="true" outlineLevel="0" collapsed="false">
      <c r="A3" s="17" t="s">
        <v>343</v>
      </c>
      <c r="B3" s="17" t="s">
        <v>344</v>
      </c>
      <c r="C3" s="17" t="s">
        <v>345</v>
      </c>
    </row>
    <row r="4" customFormat="false" ht="15" hidden="false" customHeight="false" outlineLevel="0" collapsed="false">
      <c r="A4" s="18" t="s">
        <v>297</v>
      </c>
      <c r="B4" s="18" t="s">
        <v>346</v>
      </c>
      <c r="C4" s="18" t="s">
        <v>347</v>
      </c>
    </row>
    <row r="5" customFormat="false" ht="15" hidden="false" customHeight="false" outlineLevel="0" collapsed="false">
      <c r="A5" s="18" t="s">
        <v>298</v>
      </c>
      <c r="B5" s="18" t="s">
        <v>346</v>
      </c>
      <c r="C5" s="18"/>
    </row>
    <row r="6" customFormat="false" ht="15" hidden="false" customHeight="false" outlineLevel="0" collapsed="false">
      <c r="A6" s="18" t="s">
        <v>348</v>
      </c>
      <c r="B6" s="18" t="s">
        <v>349</v>
      </c>
      <c r="C6" s="18"/>
    </row>
    <row r="7" customFormat="false" ht="15" hidden="false" customHeight="false" outlineLevel="0" collapsed="false">
      <c r="A7" s="18" t="s">
        <v>350</v>
      </c>
      <c r="B7" s="18" t="s">
        <v>351</v>
      </c>
      <c r="C7" s="18"/>
    </row>
    <row r="8" customFormat="false" ht="15" hidden="false" customHeight="false" outlineLevel="0" collapsed="false">
      <c r="A8" s="18" t="s">
        <v>352</v>
      </c>
      <c r="B8" s="18" t="s">
        <v>349</v>
      </c>
      <c r="C8" s="18"/>
    </row>
    <row r="9" customFormat="false" ht="15" hidden="false" customHeight="false" outlineLevel="0" collapsed="false">
      <c r="A9" s="18" t="s">
        <v>310</v>
      </c>
      <c r="B9" s="18" t="s">
        <v>353</v>
      </c>
      <c r="C9" s="18" t="s">
        <v>354</v>
      </c>
    </row>
    <row r="10" customFormat="false" ht="15" hidden="false" customHeight="false" outlineLevel="0" collapsed="false">
      <c r="A10" s="18" t="s">
        <v>355</v>
      </c>
      <c r="B10" s="18" t="s">
        <v>351</v>
      </c>
      <c r="C10" s="18"/>
    </row>
    <row r="11" customFormat="false" ht="15" hidden="false" customHeight="false" outlineLevel="0" collapsed="false">
      <c r="A11" s="18" t="s">
        <v>356</v>
      </c>
      <c r="B11" s="18" t="s">
        <v>349</v>
      </c>
      <c r="C11" s="18"/>
    </row>
    <row r="12" customFormat="false" ht="15" hidden="false" customHeight="false" outlineLevel="0" collapsed="false">
      <c r="A12" s="18" t="s">
        <v>318</v>
      </c>
      <c r="B12" s="18" t="s">
        <v>349</v>
      </c>
      <c r="C12" s="18"/>
    </row>
    <row r="13" customFormat="false" ht="15" hidden="false" customHeight="false" outlineLevel="0" collapsed="false">
      <c r="A13" s="18" t="s">
        <v>357</v>
      </c>
      <c r="B13" s="18" t="s">
        <v>358</v>
      </c>
      <c r="C13" s="18"/>
    </row>
    <row r="14" customFormat="false" ht="15" hidden="false" customHeight="false" outlineLevel="0" collapsed="false">
      <c r="A14" s="18" t="s">
        <v>359</v>
      </c>
      <c r="B14" s="18" t="s">
        <v>360</v>
      </c>
      <c r="C14" s="18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40"/>
  </cols>
  <sheetData>
    <row r="1" customFormat="false" ht="24" hidden="false" customHeight="true" outlineLevel="0" collapsed="false">
      <c r="A1" s="15" t="s">
        <v>361</v>
      </c>
      <c r="B1" s="15"/>
      <c r="C1" s="15"/>
    </row>
    <row r="2" customFormat="false" ht="15" hidden="false" customHeight="false" outlineLevel="0" collapsed="false">
      <c r="A2" s="16" t="s">
        <v>34</v>
      </c>
      <c r="B2" s="16"/>
      <c r="C2" s="16"/>
    </row>
    <row r="3" customFormat="false" ht="30" hidden="false" customHeight="true" outlineLevel="0" collapsed="false">
      <c r="A3" s="17" t="s">
        <v>362</v>
      </c>
      <c r="B3" s="17" t="s">
        <v>363</v>
      </c>
      <c r="C3" s="17" t="s">
        <v>90</v>
      </c>
    </row>
    <row r="4" customFormat="false" ht="15" hidden="false" customHeight="false" outlineLevel="0" collapsed="false">
      <c r="A4" s="18" t="s">
        <v>364</v>
      </c>
      <c r="B4" s="18" t="s">
        <v>365</v>
      </c>
      <c r="C4" s="18" t="s">
        <v>366</v>
      </c>
    </row>
    <row r="5" customFormat="false" ht="23.85" hidden="false" customHeight="false" outlineLevel="0" collapsed="false">
      <c r="A5" s="18" t="s">
        <v>367</v>
      </c>
      <c r="B5" s="18" t="s">
        <v>368</v>
      </c>
      <c r="C5" s="18" t="s">
        <v>369</v>
      </c>
    </row>
    <row r="6" customFormat="false" ht="23.85" hidden="false" customHeight="false" outlineLevel="0" collapsed="false">
      <c r="A6" s="18" t="s">
        <v>370</v>
      </c>
      <c r="B6" s="18" t="s">
        <v>371</v>
      </c>
      <c r="C6" s="18" t="s">
        <v>372</v>
      </c>
    </row>
    <row r="7" customFormat="false" ht="15" hidden="false" customHeight="false" outlineLevel="0" collapsed="false">
      <c r="A7" s="18" t="s">
        <v>373</v>
      </c>
      <c r="B7" s="18" t="s">
        <v>374</v>
      </c>
      <c r="C7" s="18" t="s">
        <v>375</v>
      </c>
    </row>
    <row r="8" customFormat="false" ht="23.85" hidden="false" customHeight="false" outlineLevel="0" collapsed="false">
      <c r="A8" s="18" t="s">
        <v>345</v>
      </c>
      <c r="B8" s="18" t="s">
        <v>376</v>
      </c>
      <c r="C8" s="18"/>
    </row>
    <row r="9" customFormat="false" ht="15" hidden="false" customHeight="false" outlineLevel="0" collapsed="false">
      <c r="A9" s="18" t="s">
        <v>377</v>
      </c>
      <c r="B9" s="18" t="s">
        <v>378</v>
      </c>
      <c r="C9" s="18" t="s">
        <v>379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70"/>
  </cols>
  <sheetData>
    <row r="1" customFormat="false" ht="24" hidden="false" customHeight="true" outlineLevel="0" collapsed="false">
      <c r="A1" s="15" t="s">
        <v>380</v>
      </c>
      <c r="B1" s="15"/>
      <c r="C1" s="15"/>
      <c r="D1" s="15"/>
    </row>
    <row r="2" customFormat="false" ht="15" hidden="false" customHeight="false" outlineLevel="0" collapsed="false">
      <c r="A2" s="16" t="s">
        <v>34</v>
      </c>
      <c r="B2" s="16"/>
      <c r="C2" s="16"/>
      <c r="D2" s="16"/>
    </row>
    <row r="3" customFormat="false" ht="30" hidden="false" customHeight="true" outlineLevel="0" collapsed="false">
      <c r="A3" s="17" t="s">
        <v>381</v>
      </c>
      <c r="B3" s="17" t="s">
        <v>87</v>
      </c>
      <c r="C3" s="17" t="s">
        <v>382</v>
      </c>
      <c r="D3" s="17" t="s">
        <v>383</v>
      </c>
    </row>
    <row r="4" customFormat="false" ht="15" hidden="false" customHeight="false" outlineLevel="0" collapsed="false">
      <c r="A4" s="18" t="s">
        <v>384</v>
      </c>
      <c r="B4" s="18" t="s">
        <v>385</v>
      </c>
      <c r="C4" s="18" t="s">
        <v>92</v>
      </c>
      <c r="D4" s="18" t="s">
        <v>386</v>
      </c>
    </row>
    <row r="5" customFormat="false" ht="23.85" hidden="false" customHeight="false" outlineLevel="0" collapsed="false">
      <c r="A5" s="18" t="s">
        <v>387</v>
      </c>
      <c r="B5" s="18" t="s">
        <v>388</v>
      </c>
      <c r="C5" s="18" t="s">
        <v>389</v>
      </c>
      <c r="D5" s="18" t="s">
        <v>390</v>
      </c>
    </row>
    <row r="6" customFormat="false" ht="15" hidden="false" customHeight="false" outlineLevel="0" collapsed="false">
      <c r="A6" s="18" t="s">
        <v>391</v>
      </c>
      <c r="B6" s="18" t="s">
        <v>392</v>
      </c>
      <c r="C6" s="18" t="s">
        <v>393</v>
      </c>
      <c r="D6" s="18" t="s">
        <v>394</v>
      </c>
    </row>
    <row r="7" customFormat="false" ht="23.85" hidden="false" customHeight="false" outlineLevel="0" collapsed="false">
      <c r="A7" s="18" t="s">
        <v>395</v>
      </c>
      <c r="B7" s="18" t="s">
        <v>396</v>
      </c>
      <c r="C7" s="18" t="s">
        <v>397</v>
      </c>
      <c r="D7" s="18" t="s">
        <v>398</v>
      </c>
    </row>
    <row r="8" customFormat="false" ht="15" hidden="false" customHeight="false" outlineLevel="0" collapsed="false">
      <c r="A8" s="18" t="s">
        <v>399</v>
      </c>
      <c r="B8" s="18" t="s">
        <v>400</v>
      </c>
      <c r="C8" s="18" t="s">
        <v>401</v>
      </c>
      <c r="D8" s="18" t="s">
        <v>402</v>
      </c>
    </row>
    <row r="9" customFormat="false" ht="15" hidden="false" customHeight="false" outlineLevel="0" collapsed="false">
      <c r="A9" s="18" t="s">
        <v>403</v>
      </c>
      <c r="B9" s="18" t="s">
        <v>404</v>
      </c>
      <c r="C9" s="18" t="s">
        <v>405</v>
      </c>
      <c r="D9" s="18" t="s">
        <v>406</v>
      </c>
    </row>
    <row r="10" customFormat="false" ht="23.85" hidden="false" customHeight="false" outlineLevel="0" collapsed="false">
      <c r="A10" s="18" t="s">
        <v>29</v>
      </c>
      <c r="B10" s="18" t="s">
        <v>66</v>
      </c>
      <c r="C10" s="18" t="s">
        <v>66</v>
      </c>
      <c r="D10" s="18" t="s">
        <v>407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42"/>
    <col collapsed="false" customWidth="true" hidden="false" outlineLevel="0" max="4" min="4" style="0" width="28"/>
  </cols>
  <sheetData>
    <row r="1" customFormat="false" ht="24" hidden="false" customHeight="true" outlineLevel="0" collapsed="false">
      <c r="A1" s="15" t="s">
        <v>408</v>
      </c>
      <c r="B1" s="15"/>
      <c r="C1" s="15"/>
      <c r="D1" s="15"/>
    </row>
    <row r="2" customFormat="false" ht="15" hidden="false" customHeight="false" outlineLevel="0" collapsed="false">
      <c r="A2" s="16" t="s">
        <v>34</v>
      </c>
      <c r="B2" s="16"/>
      <c r="C2" s="16"/>
      <c r="D2" s="16"/>
    </row>
    <row r="3" customFormat="false" ht="30" hidden="false" customHeight="true" outlineLevel="0" collapsed="false">
      <c r="A3" s="17" t="s">
        <v>409</v>
      </c>
      <c r="B3" s="17" t="s">
        <v>410</v>
      </c>
      <c r="C3" s="17" t="s">
        <v>411</v>
      </c>
      <c r="D3" s="17" t="s">
        <v>412</v>
      </c>
    </row>
    <row r="4" customFormat="false" ht="15" hidden="false" customHeight="false" outlineLevel="0" collapsed="false">
      <c r="A4" s="18" t="s">
        <v>413</v>
      </c>
      <c r="B4" s="18" t="s">
        <v>414</v>
      </c>
      <c r="C4" s="18" t="s">
        <v>415</v>
      </c>
      <c r="D4" s="18" t="s">
        <v>416</v>
      </c>
    </row>
    <row r="5" customFormat="false" ht="15" hidden="false" customHeight="false" outlineLevel="0" collapsed="false">
      <c r="A5" s="18" t="s">
        <v>417</v>
      </c>
      <c r="B5" s="18" t="s">
        <v>418</v>
      </c>
      <c r="C5" s="18" t="s">
        <v>419</v>
      </c>
      <c r="D5" s="18" t="s">
        <v>420</v>
      </c>
    </row>
    <row r="6" customFormat="false" ht="15" hidden="false" customHeight="false" outlineLevel="0" collapsed="false">
      <c r="A6" s="18" t="s">
        <v>421</v>
      </c>
      <c r="B6" s="18" t="s">
        <v>422</v>
      </c>
      <c r="C6" s="18" t="s">
        <v>423</v>
      </c>
      <c r="D6" s="18" t="s">
        <v>424</v>
      </c>
    </row>
    <row r="7" customFormat="false" ht="15" hidden="false" customHeight="false" outlineLevel="0" collapsed="false">
      <c r="A7" s="18" t="s">
        <v>425</v>
      </c>
      <c r="B7" s="18" t="s">
        <v>426</v>
      </c>
      <c r="C7" s="18" t="s">
        <v>427</v>
      </c>
      <c r="D7" s="18" t="s">
        <v>428</v>
      </c>
    </row>
    <row r="8" customFormat="false" ht="23.85" hidden="false" customHeight="false" outlineLevel="0" collapsed="false">
      <c r="A8" s="18" t="s">
        <v>429</v>
      </c>
      <c r="B8" s="18" t="s">
        <v>430</v>
      </c>
      <c r="C8" s="18" t="s">
        <v>431</v>
      </c>
      <c r="D8" s="18" t="s">
        <v>432</v>
      </c>
    </row>
    <row r="9" customFormat="false" ht="15" hidden="false" customHeight="false" outlineLevel="0" collapsed="false">
      <c r="A9" s="18" t="s">
        <v>433</v>
      </c>
      <c r="B9" s="18" t="s">
        <v>434</v>
      </c>
      <c r="C9" s="18" t="s">
        <v>435</v>
      </c>
      <c r="D9" s="18" t="s">
        <v>436</v>
      </c>
    </row>
    <row r="10" customFormat="false" ht="23.85" hidden="false" customHeight="false" outlineLevel="0" collapsed="false">
      <c r="A10" s="18" t="s">
        <v>437</v>
      </c>
      <c r="B10" s="18" t="s">
        <v>438</v>
      </c>
      <c r="C10" s="18" t="s">
        <v>439</v>
      </c>
      <c r="D10" s="18" t="s">
        <v>428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2026-09-19T19:14:39Z</dcterms:created>
  <dc:creator>openpyxl</dc:creator>
  <dc:description/>
  <dc:language>en-US</dc:language>
  <cp:lastModifiedBy/>
  <dcterms:modified xsi:type="dcterms:W3CDTF">2026-09-19T19:14:39Z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